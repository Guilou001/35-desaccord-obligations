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6d65bb2fa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ison" sheetId="1" r:id="R804694d33f564b4f"/>
    <x:sheet xmlns:r="http://schemas.openxmlformats.org/officeDocument/2006/relationships" name="Rendements" sheetId="2" r:id="Rad880518e76e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0.000000"/>
    <x:numFmt numFmtId="203" formatCode="yyyy-mm-dd"/>
  </x:numFmts>
  <x:fonts count="4">
    <x:font>
      <x:sz val="11"/>
      <x:name val="Carlito"/>
    </x:font>
    <x:font>
      <x:sz val="11"/>
      <x:color rgb="FF233445"/>
      <x:name val="Arial"/>
    </x:font>
    <x:font>
      <x:b/>
      <x:sz val="16"/>
      <x:color rgb="FF23344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59A"/>
      </x:patternFill>
    </x:fill>
    <x:fill>
      <x:patternFill patternType="solid">
        <x:fgColor rgb="FFFFF0CB"/>
      </x:patternFill>
    </x:fill>
    <x:fill>
      <x:patternFill patternType="solid">
        <x:fgColor rgb="FFEDF3F7"/>
      </x:patternFill>
    </x:fill>
  </x:fills>
  <x:borders count="2">
    <x:border/>
    <x:border>
      <x:bottom style="thin">
        <x:color rgb="FF17659A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7b79459454446" /><Relationship Type="http://schemas.openxmlformats.org/officeDocument/2006/relationships/theme" Target="/xl/theme/theme1.xml" Id="R2ab03027375e409d" /><Relationship Type="http://schemas.openxmlformats.org/officeDocument/2006/relationships/sharedStrings" Target="/xl/sharedStrings.xml" Id="R71bd8d91e26a4f9c" /><Relationship Type="http://schemas.openxmlformats.org/officeDocument/2006/relationships/worksheet" Target="/xl/worksheets/sheet1.xml" Id="R804694d33f564b4f" /><Relationship Type="http://schemas.openxmlformats.org/officeDocument/2006/relationships/worksheet" Target="/xl/worksheets/sheet2.xml" Id="Rad880518e76e49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59A"/>
  </x:sheetPr>
  <x:sheetViews>
    <x:sheetView showGridLines="0" workbookViewId="0"/>
  </x:sheetViews>
  <x:sheetFormatPr defaultRowHeight="15"/>
  <x:cols>
    <x:col min="1" max="1" width="43" hidden="0" customWidth="1"/>
    <x:col min="2" max="2" width="29" hidden="0" customWidth="1"/>
    <x:col min="3" max="3" width="2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Désaccord des modèles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2"/>
      <x:c r="E3" s="2"/>
      <x:c r="F3" s="2"/>
      <x:c r="G3" s="2"/>
      <x:c r="H3" s="2"/>
      <x:c r="I3" s="2"/>
    </x:row>
    <x:row r="4">
      <x:c r="A4" s="2" t="str">
        <x:v>2005-08-31 au 2022-12-31. Frais de 25 points de base.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7" t="str">
        <x:v>Mesure</x:v>
      </x:c>
      <x:c r="B6" s="7" t="str">
        <x:v>Modèle étudié</x:v>
      </x:c>
      <x:c r="C6" s="7" t="str">
        <x:v>Repère</x:v>
      </x:c>
      <x:c r="D6" s="2"/>
      <x:c r="E6" s="2"/>
      <x:c r="F6" s="2"/>
      <x:c r="G6" s="2"/>
      <x:c r="H6" s="2"/>
      <x:c r="I6" s="2"/>
    </x:row>
    <x:row r="7" ht="32" customHeight="1">
      <x:c r="A7" s="8" t="str"/>
      <x:c r="B7" s="8" t="str">
        <x:v>Désaccord pénalisé</x:v>
      </x:c>
      <x:c r="C7" s="8" t="str">
        <x:v>Prévision moyenne</x:v>
      </x:c>
      <x:c r="D7" s="2"/>
      <x:c r="E7" s="2"/>
      <x:c r="F7" s="2"/>
      <x:c r="G7" s="2"/>
      <x:c r="H7" s="2"/>
      <x:c r="I7" s="2"/>
    </x:row>
    <x:row r="8" ht="23" customHeight="1">
      <x:c r="A8" s="2" t="str">
        <x:v>Rendement annuel composé</x:v>
      </x:c>
      <x:c r="B8" s="11" t="n">
        <x:f>('Rendements'!F216/100)^(B$21/B$22)-1</x:f>
        <x:v>0.03839622228823392</x:v>
      </x:c>
      <x:c r="C8" s="11" t="n">
        <x:f>('Rendements'!G216/100)^(B$21/B$22)-1</x:f>
        <x:v>0.04804809663696141</x:v>
      </x:c>
      <x:c r="D8" s="2"/>
      <x:c r="E8" s="2"/>
      <x:c r="F8" s="2"/>
      <x:c r="G8" s="2"/>
      <x:c r="H8" s="2"/>
      <x:c r="I8" s="2"/>
    </x:row>
    <x:row r="9" ht="23" customHeight="1">
      <x:c r="A9" s="2" t="str">
        <x:v>Risque annuel</x:v>
      </x:c>
      <x:c r="B9" s="11" t="n">
        <x:f>STDEV.S('Rendements'!H8:H216)*SQRT($B$21)</x:f>
        <x:v>0.0655538805390789</x:v>
      </x:c>
      <x:c r="C9" s="11" t="n">
        <x:f>STDEV.S('Rendements'!I8:I216)*SQRT($B$21)</x:f>
        <x:v>0.06787233960769126</x:v>
      </x:c>
      <x:c r="D9" s="2"/>
      <x:c r="E9" s="2"/>
      <x:c r="F9" s="2"/>
      <x:c r="G9" s="2"/>
      <x:c r="H9" s="2"/>
      <x:c r="I9" s="2"/>
    </x:row>
    <x:row r="10" ht="23" customHeight="1">
      <x:c r="A10" s="2" t="str">
        <x:v>Rotation annuelle du capital</x:v>
      </x:c>
      <x:c r="B10" s="10" t="n">
        <x:f>AVERAGE('Rendements'!D8:D216)*$B$21</x:f>
        <x:v>11.33664403561566</x:v>
      </x:c>
      <x:c r="C10" s="10" t="n">
        <x:f>AVERAGE('Rendements'!E8:E216)*$B$21</x:f>
        <x:v>9.948004131836324</x:v>
      </x:c>
      <x:c r="D10" s="2"/>
      <x:c r="E10" s="2"/>
      <x:c r="F10" s="2"/>
      <x:c r="G10" s="2"/>
      <x:c r="H10" s="2"/>
      <x:c r="I10" s="2"/>
    </x:row>
    <x:row r="11" ht="23" customHeight="1">
      <x:c r="A11" s="2"/>
      <x:c r="B11" s="11"/>
      <x:c r="C11" s="11"/>
      <x:c r="D11" s="2"/>
      <x:c r="E11" s="2"/>
      <x:c r="F11" s="2"/>
      <x:c r="G11" s="2"/>
      <x:c r="H11" s="2"/>
      <x:c r="I11" s="2"/>
    </x:row>
    <x:row r="12" ht="23" customHeight="1">
      <x:c r="A12" s="2" t="str">
        <x:v>Rendement moyen mensuel</x:v>
      </x:c>
      <x:c r="B12" s="11" t="n">
        <x:f>AVERAGE('Rendements'!H8:H216)</x:f>
        <x:v>0.002394459835520138</x:v>
      </x:c>
      <x:c r="C12" s="11" t="n">
        <x:f>AVERAGE('Rendements'!I8:I216)</x:f>
        <x:v>0.003181156815321413</x:v>
      </x:c>
      <x:c r="D12" s="2"/>
      <x:c r="E12" s="2"/>
      <x:c r="F12" s="2"/>
      <x:c r="G12" s="2"/>
      <x:c r="H12" s="2"/>
      <x:c r="I12" s="2"/>
    </x:row>
    <x:row r="13" ht="23" customHeight="1">
      <x:c r="A13" s="2" t="str">
        <x:v>Variance mensuelle</x:v>
      </x:c>
      <x:c r="B13" s="12" t="n">
        <x:f>VAR.S('Rendements'!H8:H216)</x:f>
        <x:v>0.000358109271144319</x:v>
      </x:c>
      <x:c r="C13" s="12" t="n">
        <x:f>VAR.S('Rendements'!I8:I216)</x:f>
        <x:v>0.0003838878736518146</x:v>
      </x:c>
      <x:c r="D13" s="2"/>
      <x:c r="E13" s="2"/>
      <x:c r="F13" s="2"/>
      <x:c r="G13" s="2"/>
      <x:c r="H13" s="2"/>
      <x:c r="I13" s="2"/>
    </x:row>
    <x:row r="14" ht="23" customHeight="1">
      <x:c r="A14" s="2" t="str">
        <x:v>Pénalité annuelle de risque</x:v>
      </x:c>
      <x:c r="B14" s="11" t="n">
        <x:f>0.5*$B$20*$B$21*B13</x:f>
        <x:v>0.010743278134329569</x:v>
      </x:c>
      <x:c r="C14" s="11" t="n">
        <x:f>0.5*$B$20*$B$21*C13</x:f>
        <x:v>0.011516636209554438</x:v>
      </x:c>
      <x:c r="D14" s="2"/>
      <x:c r="E14" s="2"/>
      <x:c r="F14" s="2"/>
      <x:c r="G14" s="2"/>
      <x:c r="H14" s="2"/>
      <x:c r="I14" s="2"/>
    </x:row>
    <x:row r="15" ht="23" customHeight="1">
      <x:c r="A15" s="13" t="str">
        <x:v>Équivalent certain annuel</x:v>
      </x:c>
      <x:c r="B15" s="14" t="n">
        <x:f>$B$21*B12-B14</x:f>
        <x:v>0.01799023989191209</x:v>
      </x:c>
      <x:c r="C15" s="14" t="n">
        <x:f>$B$21*C12-C14</x:f>
        <x:v>0.02665724557430252</x:v>
      </x:c>
      <x:c r="D15" s="2"/>
      <x:c r="E15" s="2"/>
      <x:c r="F15" s="2"/>
      <x:c r="G15" s="2"/>
      <x:c r="H15" s="2"/>
      <x:c r="I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" t="str">
        <x:v>Écart du modèle au repère</x:v>
      </x:c>
      <x:c r="B17" s="10" t="n">
        <x:f>100*(B15-C15)</x:f>
        <x:v>-0.8667005682390427</x:v>
      </x:c>
      <x:c r="C17" s="2"/>
      <x:c r="D17" s="2"/>
      <x:c r="E17" s="2"/>
      <x:c r="F17" s="2"/>
      <x:c r="G17" s="2"/>
      <x:c r="H17" s="2"/>
      <x:c r="I17" s="2"/>
    </x:row>
    <x:row r="18" ht="23" customHeight="1">
      <x:c r="A18" s="2" t="str">
        <x:v>Points de pourcentage par an</x:v>
      </x:c>
      <x:c r="B18" s="2"/>
      <x:c r="C18" s="2"/>
      <x:c r="D18" s="2"/>
      <x:c r="E18" s="2"/>
      <x:c r="F18" s="2"/>
      <x:c r="G18" s="2"/>
      <x:c r="H18" s="2"/>
      <x:c r="I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3" customHeight="1">
      <x:c r="A20" s="2" t="str">
        <x:v>Aversion au risque</x:v>
      </x:c>
      <x:c r="B20" s="9" t="n">
        <x:v>5</x:v>
      </x:c>
      <x:c r="C20" s="2"/>
      <x:c r="D20" s="2"/>
      <x:c r="E20" s="2"/>
      <x:c r="F20" s="2"/>
      <x:c r="G20" s="2"/>
      <x:c r="H20" s="2"/>
      <x:c r="I20" s="2"/>
    </x:row>
    <x:row r="21" ht="23" customHeight="1">
      <x:c r="A21" s="2" t="str">
        <x:v>Mois par année</x:v>
      </x:c>
      <x:c r="B21" s="2" t="n">
        <x:v>12</x:v>
      </x:c>
      <x:c r="C21" s="2"/>
      <x:c r="D21" s="2"/>
      <x:c r="E21" s="2"/>
      <x:c r="F21" s="2"/>
      <x:c r="G21" s="2"/>
      <x:c r="H21" s="2"/>
      <x:c r="I21" s="2"/>
    </x:row>
    <x:row r="22" ht="23" customHeight="1">
      <x:c r="A22" s="2" t="str">
        <x:v>Nombre de mois observés</x:v>
      </x:c>
      <x:c r="B22" s="2" t="n">
        <x:f>COUNT('Rendements'!A8:A216)</x:f>
        <x:v>209</x:v>
      </x:c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 t="str">
        <x:v>Modifier B20 change la pénalité de risque et les équivalents certains.</x:v>
      </x:c>
      <x:c r="B24" s="2"/>
      <x:c r="C24" s="2"/>
      <x:c r="D24" s="2"/>
      <x:c r="E24" s="2"/>
      <x:c r="F24" s="2"/>
      <x:c r="G24" s="2"/>
      <x:c r="H24" s="2"/>
      <x:c r="I24" s="2"/>
    </x:row>
    <x:row r="25">
      <x:c r="A25" s="2" t="str">
        <x:v>Le risque et l’équivalent certain utilisent les rendements moins le taux sans risque.</x:v>
      </x:c>
      <x:c r="B25" s="2"/>
      <x:c r="C25" s="2"/>
      <x:c r="D25" s="2"/>
      <x:c r="E25" s="2"/>
      <x:c r="F25" s="2"/>
      <x:c r="G25" s="2"/>
      <x:c r="H25" s="2"/>
      <x:c r="I25" s="2"/>
    </x:row>
  </x:sheetData>
  <x:dataValidations count="1">
    <x:dataValidation type="decimal" operator="greaterThanOrEqual" sqref="B2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Rendements mensuels du test principal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Source https://github.com/Guilou001/35-desaccord-obligations/blob/main/results/tables/paths.parquet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Modèle Désaccord pénalisé. Repère Prévision moyenne. Rendements nets des frais.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Indices de richesse calculés depuis 100 juste avant le premier mois.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>
      <x:c r="A7" s="7" t="str">
        <x:v>Fin du mois</x:v>
      </x:c>
      <x:c r="B7" s="7" t="str">
        <x:v>Rendement modèle</x:v>
      </x:c>
      <x:c r="C7" s="7" t="str">
        <x:v>Rendement repère</x:v>
      </x:c>
      <x:c r="D7" s="7" t="str">
        <x:v>Rotation modèle</x:v>
      </x:c>
      <x:c r="E7" s="7" t="str">
        <x:v>Rotation repère</x:v>
      </x:c>
      <x:c r="F7" s="7" t="str">
        <x:v>Indice modèle</x:v>
      </x:c>
      <x:c r="G7" s="7" t="str">
        <x:v>Indice repère</x:v>
      </x:c>
      <x:c r="H7" s="7" t="str">
        <x:v>Excédent modèle</x:v>
      </x:c>
      <x:c r="I7" s="7" t="str">
        <x:v>Excédent repère</x:v>
      </x:c>
    </x:row>
    <x:row r="8">
      <x:c r="A8" s="15" t="n">
        <x:v>38595</x:v>
      </x:c>
      <x:c r="B8" s="11" t="n">
        <x:v>0.010493118058276796</x:v>
      </x:c>
      <x:c r="C8" s="11" t="n">
        <x:v>0.009476641706116729</x:v>
      </x:c>
      <x:c r="D8" s="10" t="n">
        <x:v>0.9975062344139651</x:v>
      </x:c>
      <x:c r="E8" s="10" t="n">
        <x:v>0.9975062344139651</x:v>
      </x:c>
      <x:c r="F8" s="10" t="n">
        <x:f>100*(1+B8)</x:f>
        <x:v>101.04931180582768</x:v>
      </x:c>
      <x:c r="G8" s="10" t="n">
        <x:f>100*(1+C8)</x:f>
        <x:v>100.94766417061167</x:v>
      </x:c>
      <x:c r="H8" s="11" t="n">
        <x:v>0.007493118058276796</x:v>
      </x:c>
      <x:c r="I8" s="11" t="n">
        <x:v>0.0064766417061167285</x:v>
      </x:c>
    </x:row>
    <x:row r="9">
      <x:c r="A9" s="15" t="n">
        <x:v>38625</x:v>
      </x:c>
      <x:c r="B9" s="11" t="n">
        <x:v>-0.016689610735073246</x:v>
      </x:c>
      <x:c r="C9" s="11" t="n">
        <x:v>-0.015020111173046025</x:v>
      </x:c>
      <x:c r="D9" s="10" t="n">
        <x:v>1.2298889586609605</x:v>
      </x:c>
      <x:c r="E9" s="10" t="n">
        <x:v>0.8857957966357977</x:v>
      </x:c>
      <x:c r="F9" s="10" t="n">
        <x:f>F8*(1+B9)</x:f>
        <x:v>99.36283812674138</x:v>
      </x:c>
      <x:c r="G9" s="10" t="n">
        <x:f>G8*(1+C9)</x:f>
        <x:v>99.43141903210977</x:v>
      </x:c>
      <x:c r="H9" s="11" t="n">
        <x:v>-0.019589610735073246</x:v>
      </x:c>
      <x:c r="I9" s="11" t="n">
        <x:v>-0.017920111173046024</x:v>
      </x:c>
    </x:row>
    <x:row r="10">
      <x:c r="A10" s="15" t="n">
        <x:v>38656</x:v>
      </x:c>
      <x:c r="B10" s="11" t="n">
        <x:v>-0.013315990394769717</x:v>
      </x:c>
      <x:c r="C10" s="11" t="n">
        <x:v>-0.012395293420328857</x:v>
      </x:c>
      <x:c r="D10" s="10" t="n">
        <x:v>1.087071853546533</x:v>
      </x:c>
      <x:c r="E10" s="10" t="n">
        <x:v>0.748546011936953</x:v>
      </x:c>
      <x:c r="F10" s="10" t="n">
        <x:f>F9*(1+B10)</x:f>
        <x:v>98.03972352864864</x:v>
      </x:c>
      <x:c r="G10" s="10" t="n">
        <x:f>G9*(1+C10)</x:f>
        <x:v>98.1989374180071</x:v>
      </x:c>
      <x:c r="H10" s="11" t="n">
        <x:v>-0.016015990394769718</x:v>
      </x:c>
      <x:c r="I10" s="11" t="n">
        <x:v>-0.015095293420328858</x:v>
      </x:c>
    </x:row>
    <x:row r="11">
      <x:c r="A11" s="15" t="n">
        <x:v>38686</x:v>
      </x:c>
      <x:c r="B11" s="11" t="n">
        <x:v>0.004657503495297366</x:v>
      </x:c>
      <x:c r="C11" s="11" t="n">
        <x:v>0.007314904096076935</x:v>
      </x:c>
      <x:c r="D11" s="10" t="n">
        <x:v>1.1080307159210185</x:v>
      </x:c>
      <x:c r="E11" s="10" t="n">
        <x:v>1.0802726833000356</x:v>
      </x:c>
      <x:c r="F11" s="10" t="n">
        <x:f>F10*(1+B11)</x:f>
        <x:v>98.49634388366131</x:v>
      </x:c>
      <x:c r="G11" s="10" t="n">
        <x:f>G10*(1+C11)</x:f>
        <x:v>98.91725322755649</x:v>
      </x:c>
      <x:c r="H11" s="11" t="n">
        <x:v>0.001557503495297366</x:v>
      </x:c>
      <x:c r="I11" s="11" t="n">
        <x:v>0.004214904096076935</x:v>
      </x:c>
    </x:row>
    <x:row r="12">
      <x:c r="A12" s="15" t="n">
        <x:v>38717</x:v>
      </x:c>
      <x:c r="B12" s="11" t="n">
        <x:v>0.010840661469477153</x:v>
      </x:c>
      <x:c r="C12" s="11" t="n">
        <x:v>0.011329696872880879</x:v>
      </x:c>
      <x:c r="D12" s="10" t="n">
        <x:v>1.0946763041858967</x:v>
      </x:c>
      <x:c r="E12" s="10" t="n">
        <x:v>0.7904508217826897</x:v>
      </x:c>
      <x:c r="F12" s="10" t="n">
        <x:f>F11*(1+B12)</x:f>
        <x:v>99.5641094036853</x:v>
      </x:c>
      <x:c r="G12" s="10" t="n">
        <x:f>G11*(1+C12)</x:f>
        <x:v>100.0379557221227</x:v>
      </x:c>
      <x:c r="H12" s="11" t="n">
        <x:v>0.007640661469477153</x:v>
      </x:c>
      <x:c r="I12" s="11" t="n">
        <x:v>0.00812969687288088</x:v>
      </x:c>
    </x:row>
    <x:row r="13">
      <x:c r="A13" s="15" t="n">
        <x:v>38748</x:v>
      </x:c>
      <x:c r="B13" s="11" t="n">
        <x:v>0.0006227390620714424</x:v>
      </x:c>
      <x:c r="C13" s="11" t="n">
        <x:v>0.003379322989598421</x:v>
      </x:c>
      <x:c r="D13" s="10" t="n">
        <x:v>1.165366783853284</x:v>
      </x:c>
      <x:c r="E13" s="10" t="n">
        <x:v>0.8617166958908692</x:v>
      </x:c>
      <x:c r="F13" s="10" t="n">
        <x:f>F12*(1+B13)</x:f>
        <x:v>99.62611186379132</x:v>
      </x:c>
      <x:c r="G13" s="10" t="n">
        <x:f>G12*(1+C13)</x:f>
        <x:v>100.3760162857269</x:v>
      </x:c>
      <x:c r="H13" s="11" t="n">
        <x:v>-0.0028772609379285573</x:v>
      </x:c>
      <x:c r="I13" s="11" t="n">
        <x:v>-0.0001206770104015785</x:v>
      </x:c>
    </x:row>
    <x:row r="14">
      <x:c r="A14" s="15" t="n">
        <x:v>38776</x:v>
      </x:c>
      <x:c r="B14" s="11" t="n">
        <x:v>0.005071828353489849</x:v>
      </x:c>
      <x:c r="C14" s="11" t="n">
        <x:v>0.007699976278749965</x:v>
      </x:c>
      <x:c r="D14" s="10" t="n">
        <x:v>1.1213824221463973</x:v>
      </x:c>
      <x:c r="E14" s="10" t="n">
        <x:v>0.910416214403055</x:v>
      </x:c>
      <x:c r="F14" s="10" t="n">
        <x:f>F13*(1+B14)</x:f>
        <x:v>100.13139840269005</x:v>
      </x:c>
      <x:c r="G14" s="10" t="n">
        <x:f>G13*(1+C14)</x:f>
        <x:v>101.14890923008242</x:v>
      </x:c>
      <x:c r="H14" s="11" t="n">
        <x:v>0.0016718283534898487</x:v>
      </x:c>
      <x:c r="I14" s="11" t="n">
        <x:v>0.004299976278749965</x:v>
      </x:c>
    </x:row>
    <x:row r="15">
      <x:c r="A15" s="15" t="n">
        <x:v>38807</x:v>
      </x:c>
      <x:c r="B15" s="11" t="n">
        <x:v>-0.012034330665080972</x:v>
      </x:c>
      <x:c r="C15" s="11" t="n">
        <x:v>-0.009601742357603027</x:v>
      </x:c>
      <x:c r="D15" s="10" t="n">
        <x:v>1.2031350907483684</x:v>
      </x:c>
      <x:c r="E15" s="10" t="n">
        <x:v>0.8207871173869383</x:v>
      </x:c>
      <x:c r="F15" s="10" t="n">
        <x:f>F14*(1+B15)</x:f>
        <x:v>98.92638404435512</x:v>
      </x:c>
      <x:c r="G15" s="10" t="n">
        <x:f>G14*(1+C15)</x:f>
        <x:v>100.1777034639026</x:v>
      </x:c>
      <x:c r="H15" s="11" t="n">
        <x:v>-0.015734330665080974</x:v>
      </x:c>
      <x:c r="I15" s="11" t="n">
        <x:v>-0.013301742357603027</x:v>
      </x:c>
    </x:row>
    <x:row r="16">
      <x:c r="A16" s="15" t="n">
        <x:v>38837</x:v>
      </x:c>
      <x:c r="B16" s="11" t="n">
        <x:v>-0.006428011321489735</x:v>
      </x:c>
      <x:c r="C16" s="11" t="n">
        <x:v>0.0010314932849193603</x:v>
      </x:c>
      <x:c r="D16" s="10" t="n">
        <x:v>1.0832165830932046</x:v>
      </x:c>
      <x:c r="E16" s="10" t="n">
        <x:v>0.8758929728767475</x:v>
      </x:c>
      <x:c r="F16" s="10" t="n">
        <x:f>F15*(1+B16)</x:f>
        <x:v>98.29048412772396</x:v>
      </x:c>
      <x:c r="G16" s="10" t="n">
        <x:f>G15*(1+C16)</x:f>
        <x:v>100.28103609232426</x:v>
      </x:c>
      <x:c r="H16" s="11" t="n">
        <x:v>-0.010028011321489734</x:v>
      </x:c>
      <x:c r="I16" s="11" t="n">
        <x:v>-0.0025685067150806396</x:v>
      </x:c>
    </x:row>
    <x:row r="17">
      <x:c r="A17" s="15" t="n">
        <x:v>38868</x:v>
      </x:c>
      <x:c r="B17" s="11" t="n">
        <x:v>-0.0029888505791310083</x:v>
      </x:c>
      <x:c r="C17" s="11" t="n">
        <x:v>-0.0008407014674544078</x:v>
      </x:c>
      <x:c r="D17" s="10" t="n">
        <x:v>1.1659922125144426</x:v>
      </x:c>
      <x:c r="E17" s="10" t="n">
        <x:v>0.8918920070674867</x:v>
      </x:c>
      <x:c r="F17" s="10" t="n">
        <x:f>F16*(1+B17)</x:f>
        <x:v>97.99670855731574</x:v>
      </x:c>
      <x:c r="G17" s="10" t="n">
        <x:f>G16*(1+C17)</x:f>
        <x:v>100.19672967812359</x:v>
      </x:c>
      <x:c r="H17" s="11" t="n">
        <x:v>-0.007288850579131008</x:v>
      </x:c>
      <x:c r="I17" s="11" t="n">
        <x:v>-0.005140701467454408</x:v>
      </x:c>
    </x:row>
    <x:row r="18">
      <x:c r="A18" s="15" t="n">
        <x:v>38898</x:v>
      </x:c>
      <x:c r="B18" s="11" t="n">
        <x:v>-0.00202116402189656</x:v>
      </x:c>
      <x:c r="C18" s="11" t="n">
        <x:v>-0.0020768873310191838</x:v>
      </x:c>
      <x:c r="D18" s="10" t="n">
        <x:v>1.0909258216912665</x:v>
      </x:c>
      <x:c r="E18" s="10" t="n">
        <x:v>0.8968798700186608</x:v>
      </x:c>
      <x:c r="F18" s="10" t="n">
        <x:f>F17*(1+B18)</x:f>
        <x:v>97.79864113571541</x:v>
      </x:c>
      <x:c r="G18" s="10" t="n">
        <x:f>G17*(1+C18)</x:f>
        <x:v>99.98863235964554</x:v>
      </x:c>
      <x:c r="H18" s="11" t="n">
        <x:v>-0.00602116402189656</x:v>
      </x:c>
      <x:c r="I18" s="11" t="n">
        <x:v>-0.006076887331019184</x:v>
      </x:c>
    </x:row>
    <x:row r="19">
      <x:c r="A19" s="15" t="n">
        <x:v>38929</x:v>
      </x:c>
      <x:c r="B19" s="11" t="n">
        <x:v>0.013646386890176387</x:v>
      </x:c>
      <x:c r="C19" s="11" t="n">
        <x:v>0.01430928079298499</x:v>
      </x:c>
      <x:c r="D19" s="10" t="n">
        <x:v>1.1129006480700507</x:v>
      </x:c>
      <x:c r="E19" s="10" t="n">
        <x:v>0.919894222482484</x:v>
      </x:c>
      <x:c r="F19" s="10" t="n">
        <x:f>F18*(1+B19)</x:f>
        <x:v>99.13323922998691</x:v>
      </x:c>
      <x:c r="G19" s="10" t="n">
        <x:f>G18*(1+C19)</x:f>
        <x:v>101.41939777618624</x:v>
      </x:c>
      <x:c r="H19" s="11" t="n">
        <x:v>0.009646386890176387</x:v>
      </x:c>
      <x:c r="I19" s="11" t="n">
        <x:v>0.01030928079298499</x:v>
      </x:c>
    </x:row>
    <x:row r="20">
      <x:c r="A20" s="15" t="n">
        <x:v>38960</x:v>
      </x:c>
      <x:c r="B20" s="11" t="n">
        <x:v>0.01745339446733518</x:v>
      </x:c>
      <x:c r="C20" s="11" t="n">
        <x:v>0.018099241003376676</x:v>
      </x:c>
      <x:c r="D20" s="10" t="n">
        <x:v>1.1485085340564685</x:v>
      </x:c>
      <x:c r="E20" s="10" t="n">
        <x:v>0.8526134581656957</x:v>
      </x:c>
      <x:c r="F20" s="10" t="n">
        <x:f>F19*(1+B20)</x:f>
        <x:v>100.86345075909259</x:v>
      </x:c>
      <x:c r="G20" s="10" t="n">
        <x:f>G19*(1+C20)</x:f>
        <x:v>103.25501189895476</x:v>
      </x:c>
      <x:c r="H20" s="11" t="n">
        <x:v>0.013253394467335183</x:v>
      </x:c>
      <x:c r="I20" s="11" t="n">
        <x:v>0.013899241003376677</x:v>
      </x:c>
    </x:row>
    <x:row r="21">
      <x:c r="A21" s="15" t="n">
        <x:v>38990</x:v>
      </x:c>
      <x:c r="B21" s="11" t="n">
        <x:v>0.011691561407700224</x:v>
      </x:c>
      <x:c r="C21" s="11" t="n">
        <x:v>0.011999961846047125</x:v>
      </x:c>
      <x:c r="D21" s="10" t="n">
        <x:v>1.0495915678674739</x:v>
      </x:c>
      <x:c r="E21" s="10" t="n">
        <x:v>1.0066814509956274</x:v>
      </x:c>
      <x:c r="F21" s="10" t="n">
        <x:f>F20*(1+B21)</x:f>
        <x:v>102.04270198743507</x:v>
      </x:c>
      <x:c r="G21" s="10" t="n">
        <x:f>G20*(1+C21)</x:f>
        <x:v>104.49406810215537</x:v>
      </x:c>
      <x:c r="H21" s="11" t="n">
        <x:v>0.007591561407700224</x:v>
      </x:c>
      <x:c r="I21" s="11" t="n">
        <x:v>0.007899961846047125</x:v>
      </x:c>
    </x:row>
    <x:row r="22">
      <x:c r="A22" s="15" t="n">
        <x:v>39021</x:v>
      </x:c>
      <x:c r="B22" s="11" t="n">
        <x:v>0.00756413762744601</x:v>
      </x:c>
      <x:c r="C22" s="11" t="n">
        <x:v>0.0089478331387145</x:v>
      </x:c>
      <x:c r="D22" s="10" t="n">
        <x:v>1.0266512406208177</x:v>
      </x:c>
      <x:c r="E22" s="10" t="n">
        <x:v>0.885671171761739</x:v>
      </x:c>
      <x:c r="F22" s="10" t="n">
        <x:f>F21*(1+B22)</x:f>
        <x:v>102.81456702914448</x:v>
      </x:c>
      <x:c r="G22" s="10" t="n">
        <x:f>G21*(1+C22)</x:f>
        <x:v>105.42906358751893</x:v>
      </x:c>
      <x:c r="H22" s="11" t="n">
        <x:v>0.003464137627446011</x:v>
      </x:c>
      <x:c r="I22" s="11" t="n">
        <x:v>0.004847833138714501</x:v>
      </x:c>
    </x:row>
    <x:row r="23">
      <x:c r="A23" s="15" t="n">
        <x:v>39051</x:v>
      </x:c>
      <x:c r="B23" s="11" t="n">
        <x:v>0.014933640766159995</x:v>
      </x:c>
      <x:c r="C23" s="11" t="n">
        <x:v>0.013715615138470971</x:v>
      </x:c>
      <x:c r="D23" s="10" t="n">
        <x:v>1.1735418586336395</x:v>
      </x:c>
      <x:c r="E23" s="10" t="n">
        <x:v>0.884838379313269</x:v>
      </x:c>
      <x:c r="F23" s="10" t="n">
        <x:f>F22*(1+B23)</x:f>
        <x:v>104.34996283868601</x:v>
      </x:c>
      <x:c r="G23" s="10" t="n">
        <x:f>G22*(1+C23)</x:f>
        <x:v>106.87508804809472</x:v>
      </x:c>
      <x:c r="H23" s="11" t="n">
        <x:v>0.010733640766159996</x:v>
      </x:c>
      <x:c r="I23" s="11" t="n">
        <x:v>0.009515615138470972</x:v>
      </x:c>
    </x:row>
    <x:row r="24">
      <x:c r="A24" s="15" t="n">
        <x:v>39082</x:v>
      </x:c>
      <x:c r="B24" s="11" t="n">
        <x:v>-0.004563290841107959</x:v>
      </x:c>
      <x:c r="C24" s="11" t="n">
        <x:v>0.0014554724229920435</x:v>
      </x:c>
      <x:c r="D24" s="10" t="n">
        <x:v>1.0045898925405017</x:v>
      </x:c>
      <x:c r="E24" s="10" t="n">
        <x:v>0.9171510274860548</x:v>
      </x:c>
      <x:c r="F24" s="10" t="n">
        <x:f>F23*(1+B24)</x:f>
        <x:v>103.87378360899427</x:v>
      </x:c>
      <x:c r="G24" s="10" t="n">
        <x:f>G23*(1+C24)</x:f>
        <x:v>107.03064179145358</x:v>
      </x:c>
      <x:c r="H24" s="11" t="n">
        <x:v>-0.008563290841107959</x:v>
      </x:c>
      <x:c r="I24" s="11" t="n">
        <x:v>-0.0025445275770079566</x:v>
      </x:c>
    </x:row>
    <x:row r="25">
      <x:c r="A25" s="15" t="n">
        <x:v>39113</x:v>
      </x:c>
      <x:c r="B25" s="11" t="n">
        <x:v>0.0009336219939863888</x:v>
      </x:c>
      <x:c r="C25" s="11" t="n">
        <x:v>0.006418117014300506</x:v>
      </x:c>
      <x:c r="D25" s="10" t="n">
        <x:v>1.1628199673972621</x:v>
      </x:c>
      <x:c r="E25" s="10" t="n">
        <x:v>1.0602553040294618</x:v>
      </x:c>
      <x:c r="F25" s="10" t="n">
        <x:f>F24*(1+B25)</x:f>
        <x:v>103.97076245797021</x:v>
      </x:c>
      <x:c r="G25" s="10" t="n">
        <x:f>G24*(1+C25)</x:f>
        <x:v>107.7175769745868</x:v>
      </x:c>
      <x:c r="H25" s="11" t="n">
        <x:v>-0.0034663780060136115</x:v>
      </x:c>
      <x:c r="I25" s="11" t="n">
        <x:v>0.002018117014300506</x:v>
      </x:c>
    </x:row>
    <x:row r="26">
      <x:c r="A26" s="16" t="n">
        <x:v>39141</x:v>
      </x:c>
      <x:c r="B26" s="17" t="n">
        <x:v>0.01797574173899008</x:v>
      </x:c>
      <x:c r="C26" s="17" t="n">
        <x:v>0.01581781677617511</x:v>
      </x:c>
      <x:c r="D26" s="18" t="n">
        <x:v>1.0833339782979345</x:v>
      </x:c>
      <x:c r="E26" s="18" t="n">
        <x:v>0.8588992789069687</x:v>
      </x:c>
      <x:c r="F26" s="18" t="n">
        <x:f>F25*(1+B26)</x:f>
        <x:v>105.83971403232057</x:v>
      </x:c>
      <x:c r="G26" s="18" t="n">
        <x:f>G25*(1+C26)</x:f>
        <x:v>109.42143387074435</x:v>
      </x:c>
      <x:c r="H26" s="17" t="n">
        <x:v>0.014175741738990081</x:v>
      </x:c>
      <x:c r="I26" s="17" t="n">
        <x:v>0.01201781677617511</x:v>
      </x:c>
    </x:row>
    <x:row r="27">
      <x:c r="A27" s="16" t="n">
        <x:v>39172</x:v>
      </x:c>
      <x:c r="B27" s="17" t="n">
        <x:v>-0.005406145785554428</x:v>
      </x:c>
      <x:c r="C27" s="17" t="n">
        <x:v>-0.0027713118571990325</x:v>
      </x:c>
      <x:c r="D27" s="18" t="n">
        <x:v>1.084625243298551</x:v>
      </x:c>
      <x:c r="E27" s="18" t="n">
        <x:v>0.9595883501478353</x:v>
      </x:c>
      <x:c r="F27" s="18" t="n">
        <x:f>F26*(1+B27)</x:f>
        <x:v>105.26752910836045</x:v>
      </x:c>
      <x:c r="G27" s="18" t="n">
        <x:f>G26*(1+C27)</x:f>
        <x:v>109.11819295362663</x:v>
      </x:c>
      <x:c r="H27" s="17" t="n">
        <x:v>-0.009706145785554428</x:v>
      </x:c>
      <x:c r="I27" s="17" t="n">
        <x:v>-0.0070713118571990325</x:v>
      </x:c>
    </x:row>
    <x:row r="28">
      <x:c r="A28" s="16" t="n">
        <x:v>39202</x:v>
      </x:c>
      <x:c r="B28" s="17" t="n">
        <x:v>0.00857140142546009</x:v>
      </x:c>
      <x:c r="C28" s="17" t="n">
        <x:v>0.010549966906179264</x:v>
      </x:c>
      <x:c r="D28" s="18" t="n">
        <x:v>0.9619303416958738</x:v>
      </x:c>
      <x:c r="E28" s="18" t="n">
        <x:v>0.961892280619713</x:v>
      </x:c>
      <x:c r="F28" s="18" t="n">
        <x:f>F27*(1+B28)</x:f>
        <x:v>106.16981935741451</x:v>
      </x:c>
      <x:c r="G28" s="18" t="n">
        <x:f>G27*(1+C28)</x:f>
        <x:v>110.26938627814948</x:v>
      </x:c>
      <x:c r="H28" s="17" t="n">
        <x:v>0.00417140142546009</x:v>
      </x:c>
      <x:c r="I28" s="17" t="n">
        <x:v>0.006149966906179264</x:v>
      </x:c>
    </x:row>
    <x:row r="29">
      <x:c r="A29" s="16" t="n">
        <x:v>39233</x:v>
      </x:c>
      <x:c r="B29" s="17" t="n">
        <x:v>-0.004067371697059952</x:v>
      </x:c>
      <x:c r="C29" s="17" t="n">
        <x:v>-0.003455797203706479</x:v>
      </x:c>
      <x:c r="D29" s="18" t="n">
        <x:v>1.00127106341156</x:v>
      </x:c>
      <x:c r="E29" s="18" t="n">
        <x:v>1.017224383855686</x:v>
      </x:c>
      <x:c r="F29" s="18" t="n">
        <x:f>F28*(1+B29)</x:f>
        <x:v>105.7379872390782</x:v>
      </x:c>
      <x:c r="G29" s="18" t="n">
        <x:f>G28*(1+C29)</x:f>
        <x:v>109.88831764139502</x:v>
      </x:c>
      <x:c r="H29" s="17" t="n">
        <x:v>-0.008167371697059951</x:v>
      </x:c>
      <x:c r="I29" s="17" t="n">
        <x:v>-0.007555797203706478</x:v>
      </x:c>
    </x:row>
    <x:row r="30">
      <x:c r="A30" s="16" t="n">
        <x:v>39263</x:v>
      </x:c>
      <x:c r="B30" s="17" t="n">
        <x:v>-0.013106016825992661</x:v>
      </x:c>
      <x:c r="C30" s="17" t="n">
        <x:v>-0.01342298119688512</x:v>
      </x:c>
      <x:c r="D30" s="18" t="n">
        <x:v>1.0862148645754424</x:v>
      </x:c>
      <x:c r="E30" s="18" t="n">
        <x:v>0.9162917338533138</x:v>
      </x:c>
      <x:c r="F30" s="18" t="n">
        <x:f>F29*(1+B30)</x:f>
        <x:v>104.35218339917624</x:v>
      </x:c>
      <x:c r="G30" s="18" t="n">
        <x:f>G29*(1+C30)</x:f>
        <x:v>108.41328881993724</x:v>
      </x:c>
      <x:c r="H30" s="17" t="n">
        <x:v>-0.01710601682599266</x:v>
      </x:c>
      <x:c r="I30" s="17" t="n">
        <x:v>-0.01742298119688512</x:v>
      </x:c>
    </x:row>
    <x:row r="31">
      <x:c r="A31" s="16" t="n">
        <x:v>39294</x:v>
      </x:c>
      <x:c r="B31" s="17" t="n">
        <x:v>-0.012860492225935327</x:v>
      </x:c>
      <x:c r="C31" s="17" t="n">
        <x:v>-0.015427952981037496</x:v>
      </x:c>
      <x:c r="D31" s="18" t="n">
        <x:v>1.1347160560148166</x:v>
      </x:c>
      <x:c r="E31" s="18" t="n">
        <x:v>0.8896891541017928</x:v>
      </x:c>
      <x:c r="F31" s="18" t="n">
        <x:f>F30*(1+B31)</x:f>
        <x:v>103.01016295581175</x:v>
      </x:c>
      <x:c r="G31" s="18" t="n">
        <x:f>G30*(1+C31)</x:f>
        <x:v>106.7406936975036</x:v>
      </x:c>
      <x:c r="H31" s="17" t="n">
        <x:v>-0.016860492225935327</x:v>
      </x:c>
      <x:c r="I31" s="17" t="n">
        <x:v>-0.019427952981037496</x:v>
      </x:c>
    </x:row>
    <x:row r="32">
      <x:c r="A32" s="16" t="n">
        <x:v>39325</x:v>
      </x:c>
      <x:c r="B32" s="17" t="n">
        <x:v>0.01619839569456749</x:v>
      </x:c>
      <x:c r="C32" s="17" t="n">
        <x:v>0.015526621221638726</x:v>
      </x:c>
      <x:c r="D32" s="18" t="n">
        <x:v>1.1744459323971308</x:v>
      </x:c>
      <x:c r="E32" s="18" t="n">
        <x:v>1.0159850866148021</x:v>
      </x:c>
      <x:c r="F32" s="18" t="n">
        <x:f>F31*(1+B32)</x:f>
        <x:v>104.67876233593186</x:v>
      </x:c>
      <x:c r="G32" s="18" t="n">
        <x:f>G31*(1+C32)</x:f>
        <x:v>108.3980160174797</x:v>
      </x:c>
      <x:c r="H32" s="17" t="n">
        <x:v>0.011998395694567492</x:v>
      </x:c>
      <x:c r="I32" s="17" t="n">
        <x:v>0.011326621221638727</x:v>
      </x:c>
    </x:row>
    <x:row r="33">
      <x:c r="A33" s="16" t="n">
        <x:v>39355</x:v>
      </x:c>
      <x:c r="B33" s="17" t="n">
        <x:v>0.008688087525797972</x:v>
      </x:c>
      <x:c r="C33" s="17" t="n">
        <x:v>0.009649970606661507</x:v>
      </x:c>
      <x:c r="D33" s="18" t="n">
        <x:v>1.1671932216889644</x:v>
      </x:c>
      <x:c r="E33" s="18" t="n">
        <x:v>1.0836704172540426</x:v>
      </x:c>
      <x:c r="F33" s="18" t="n">
        <x:f>F32*(1+B33)</x:f>
        <x:v>105.58822058519864</x:v>
      </x:c>
      <x:c r="G33" s="18" t="n">
        <x:f>G32*(1+C33)</x:f>
        <x:v>109.44405368586881</x:v>
      </x:c>
      <x:c r="H33" s="17" t="n">
        <x:v>0.005488087525797972</x:v>
      </x:c>
      <x:c r="I33" s="17" t="n">
        <x:v>0.006449970606661507</x:v>
      </x:c>
    </x:row>
    <x:row r="34">
      <x:c r="A34" s="16" t="n">
        <x:v>39386</x:v>
      </x:c>
      <x:c r="B34" s="17" t="n">
        <x:v>0.009974949396008626</x:v>
      </x:c>
      <x:c r="C34" s="17" t="n">
        <x:v>0.009348853894179276</x:v>
      </x:c>
      <x:c r="D34" s="18" t="n">
        <x:v>1.0651178343249756</x:v>
      </x:c>
      <x:c r="E34" s="18" t="n">
        <x:v>1.0144364844957163</x:v>
      </x:c>
      <x:c r="F34" s="18" t="n">
        <x:f>F33*(1+B34)</x:f>
        <x:v>106.6414577423506</x:v>
      </x:c>
      <x:c r="G34" s="18" t="n">
        <x:f>G33*(1+C34)</x:f>
        <x:v>110.46723015336471</x:v>
      </x:c>
      <x:c r="H34" s="17" t="n">
        <x:v>0.006774949396008626</x:v>
      </x:c>
      <x:c r="I34" s="17" t="n">
        <x:v>0.006148853894179277</x:v>
      </x:c>
    </x:row>
    <x:row r="35">
      <x:c r="A35" s="16" t="n">
        <x:v>39416</x:v>
      </x:c>
      <x:c r="B35" s="17" t="n">
        <x:v>-0.0011516770776976992</x:v>
      </x:c>
      <x:c r="C35" s="17" t="n">
        <x:v>-0.003171248595520204</x:v>
      </x:c>
      <x:c r="D35" s="18" t="n">
        <x:v>0.9817287242020083</x:v>
      </x:c>
      <x:c r="E35" s="18" t="n">
        <x:v>0.8632077895464546</x:v>
      </x:c>
      <x:c r="F35" s="18" t="n">
        <x:f>F34*(1+B35)</x:f>
        <x:v>106.51864121993647</x:v>
      </x:c>
      <x:c r="G35" s="18" t="n">
        <x:f>G34*(1+C35)</x:f>
        <x:v>110.11691110488985</x:v>
      </x:c>
      <x:c r="H35" s="17" t="n">
        <x:v>-0.0045516770776976995</x:v>
      </x:c>
      <x:c r="I35" s="17" t="n">
        <x:v>-0.006571248595520204</x:v>
      </x:c>
    </x:row>
    <x:row r="36">
      <x:c r="A36" s="16" t="n">
        <x:v>39447</x:v>
      </x:c>
      <x:c r="B36" s="17" t="n">
        <x:v>-0.0028440292347182705</x:v>
      </x:c>
      <x:c r="C36" s="17" t="n">
        <x:v>-0.0019068046863722765</x:v>
      </x:c>
      <x:c r="D36" s="18" t="n">
        <x:v>1.1543297321067185</x:v>
      </x:c>
      <x:c r="E36" s="18" t="n">
        <x:v>1.1343583942693427</x:v>
      </x:c>
      <x:c r="F36" s="18" t="n">
        <x:f>F35*(1+B36)</x:f>
        <x:v>106.21569909026451</x:v>
      </x:c>
      <x:c r="G36" s="18" t="n">
        <x:f>G35*(1+C36)</x:f>
        <x:v>109.90693966274621</x:v>
      </x:c>
      <x:c r="H36" s="17" t="n">
        <x:v>-0.005544029234718271</x:v>
      </x:c>
      <x:c r="I36" s="17" t="n">
        <x:v>-0.004606804686372277</x:v>
      </x:c>
    </x:row>
    <x:row r="37">
      <x:c r="A37" s="16" t="n">
        <x:v>39478</x:v>
      </x:c>
      <x:c r="B37" s="17" t="n">
        <x:v>0.0016504726736059627</x:v>
      </x:c>
      <x:c r="C37" s="17" t="n">
        <x:v>0.0017639850854123118</x:v>
      </x:c>
      <x:c r="D37" s="18" t="n">
        <x:v>1.0298373727692633</x:v>
      </x:c>
      <x:c r="E37" s="18" t="n">
        <x:v>0.9815969216552506</x:v>
      </x:c>
      <x:c r="F37" s="18" t="n">
        <x:f>F36*(1+B37)</x:f>
        <x:v>106.39100519912094</x:v>
      </x:c>
      <x:c r="G37" s="18" t="n">
        <x:f>G36*(1+C37)</x:f>
        <x:v>110.10081386509461</x:v>
      </x:c>
      <x:c r="H37" s="17" t="n">
        <x:v>-0.00044952732639403714</x:v>
      </x:c>
      <x:c r="I37" s="17" t="n">
        <x:v>-0.00033601491458768807</x:v>
      </x:c>
    </x:row>
    <x:row r="38">
      <x:c r="A38" s="16" t="n">
        <x:v>39507</x:v>
      </x:c>
      <x:c r="B38" s="17" t="n">
        <x:v>-0.00414125569754098</x:v>
      </x:c>
      <x:c r="C38" s="17" t="n">
        <x:v>-0.004406305284980094</x:v>
      </x:c>
      <x:c r="D38" s="18" t="n">
        <x:v>1.3724486844555532</x:v>
      </x:c>
      <x:c r="E38" s="18" t="n">
        <x:v>1.4544114127897905</x:v>
      </x:c>
      <x:c r="F38" s="18" t="n">
        <x:f>F37*(1+B38)</x:f>
        <x:v>105.95041284267297</x:v>
      </x:c>
      <x:c r="G38" s="18" t="n">
        <x:f>G37*(1+C38)</x:f>
        <x:v>109.61567606708023</x:v>
      </x:c>
      <x:c r="H38" s="17" t="n">
        <x:v>-0.00544125569754098</x:v>
      </x:c>
      <x:c r="I38" s="17" t="n">
        <x:v>-0.005706305284980094</x:v>
      </x:c>
    </x:row>
    <x:row r="39">
      <x:c r="A39" s="16" t="n">
        <x:v>39538</x:v>
      </x:c>
      <x:c r="B39" s="17" t="n">
        <x:v>-0.004040094018100682</x:v>
      </x:c>
      <x:c r="C39" s="17" t="n">
        <x:v>-0.0024869898259158862</x:v>
      </x:c>
      <x:c r="D39" s="18" t="n">
        <x:v>1.1809842555365806</x:v>
      </x:c>
      <x:c r="E39" s="18" t="n">
        <x:v>1.1640953902759326</x:v>
      </x:c>
      <x:c r="F39" s="18" t="n">
        <x:f>F38*(1+B39)</x:f>
        <x:v>105.52236321353199</x:v>
      </x:c>
      <x:c r="G39" s="18" t="n">
        <x:f>G38*(1+C39)</x:f>
        <x:v>109.34306299594051</x:v>
      </x:c>
      <x:c r="H39" s="17" t="n">
        <x:v>-0.005740094018100682</x:v>
      </x:c>
      <x:c r="I39" s="17" t="n">
        <x:v>-0.004186989825915886</x:v>
      </x:c>
    </x:row>
    <x:row r="40">
      <x:c r="A40" s="16" t="n">
        <x:v>39568</x:v>
      </x:c>
      <x:c r="B40" s="17" t="n">
        <x:v>0.013479876070223717</x:v>
      </x:c>
      <x:c r="C40" s="17" t="n">
        <x:v>0.01595833765748922</x:v>
      </x:c>
      <x:c r="D40" s="18" t="n">
        <x:v>1.0525232961315112</x:v>
      </x:c>
      <x:c r="E40" s="18" t="n">
        <x:v>1.0051686500650079</x:v>
      </x:c>
      <x:c r="F40" s="18" t="n">
        <x:f>F39*(1+B40)</x:f>
        <x:v>106.94479159228753</x:v>
      </x:c>
      <x:c r="G40" s="18" t="n">
        <x:f>G39*(1+C40)</x:f>
        <x:v>111.08799651573385</x:v>
      </x:c>
      <x:c r="H40" s="17" t="n">
        <x:v>0.011679876070223718</x:v>
      </x:c>
      <x:c r="I40" s="17" t="n">
        <x:v>0.01415833765748922</x:v>
      </x:c>
    </x:row>
    <x:row r="41">
      <x:c r="A41" s="16" t="n">
        <x:v>39599</x:v>
      </x:c>
      <x:c r="B41" s="17" t="n">
        <x:v>-0.005245549965305241</x:v>
      </x:c>
      <x:c r="C41" s="17" t="n">
        <x:v>-0.0004430145737167601</x:v>
      </x:c>
      <x:c r="D41" s="18" t="n">
        <x:v>1.1932552353485852</x:v>
      </x:c>
      <x:c r="E41" s="18" t="n">
        <x:v>1.1323063524586385</x:v>
      </x:c>
      <x:c r="F41" s="18" t="n">
        <x:f>F40*(1+B41)</x:f>
        <x:v>106.38380734446103</x:v>
      </x:c>
      <x:c r="G41" s="18" t="n">
        <x:f>G40*(1+C41)</x:f>
        <x:v>111.03878291431238</x:v>
      </x:c>
      <x:c r="H41" s="17" t="n">
        <x:v>-0.00704554996530524</x:v>
      </x:c>
      <x:c r="I41" s="17" t="n">
        <x:v>-0.00224301457371676</x:v>
      </x:c>
    </x:row>
    <x:row r="42">
      <x:c r="A42" s="16" t="n">
        <x:v>39629</x:v>
      </x:c>
      <x:c r="B42" s="17" t="n">
        <x:v>-0.004901525233485637</x:v>
      </x:c>
      <x:c r="C42" s="17" t="n">
        <x:v>-0.0037277056663075347</x:v>
      </x:c>
      <x:c r="D42" s="18" t="n">
        <x:v>1.100195525637969</x:v>
      </x:c>
      <x:c r="E42" s="18" t="n">
        <x:v>0.9364522790032103</x:v>
      </x:c>
      <x:c r="F42" s="18" t="n">
        <x:f>F41*(1+B42)</x:f>
        <x:v>105.86236442832788</x:v>
      </x:c>
      <x:c r="G42" s="18" t="n">
        <x:f>G41*(1+C42)</x:f>
        <x:v>110.6248630140628</x:v>
      </x:c>
      <x:c r="H42" s="17" t="n">
        <x:v>-0.0066015252334856375</x:v>
      </x:c>
      <x:c r="I42" s="17" t="n">
        <x:v>-0.005427705666307535</x:v>
      </x:c>
    </x:row>
    <x:row r="43">
      <x:c r="A43" s="16" t="n">
        <x:v>39660</x:v>
      </x:c>
      <x:c r="B43" s="17" t="n">
        <x:v>-0.008367947933389797</x:v>
      </x:c>
      <x:c r="C43" s="17" t="n">
        <x:v>-0.008324225749517633</x:v>
      </x:c>
      <x:c r="D43" s="18" t="n">
        <x:v>0.9969054885578679</x:v>
      </x:c>
      <x:c r="E43" s="18" t="n">
        <x:v>0.9019268473498867</x:v>
      </x:c>
      <x:c r="F43" s="18" t="n">
        <x:f>F42*(1+B43)</x:f>
        <x:v>104.97651367468609</x:v>
      </x:c>
      <x:c r="G43" s="18" t="n">
        <x:f>G42*(1+C43)</x:f>
        <x:v>109.70399668082428</x:v>
      </x:c>
      <x:c r="H43" s="17" t="n">
        <x:v>-0.009867947933389796</x:v>
      </x:c>
      <x:c r="I43" s="17" t="n">
        <x:v>-0.009824225749517633</x:v>
      </x:c>
    </x:row>
    <x:row r="44">
      <x:c r="A44" s="16" t="n">
        <x:v>39691</x:v>
      </x:c>
      <x:c r="B44" s="17" t="n">
        <x:v>0.009347560252699116</x:v>
      </x:c>
      <x:c r="C44" s="17" t="n">
        <x:v>0.008310850779747359</x:v>
      </x:c>
      <x:c r="D44" s="18" t="n">
        <x:v>1.3132775476503498</x:v>
      </x:c>
      <x:c r="E44" s="18" t="n">
        <x:v>1.3436480625019975</x:v>
      </x:c>
      <x:c r="F44" s="18" t="n">
        <x:f>F43*(1+B44)</x:f>
        <x:v>105.95778796137851</x:v>
      </x:c>
      <x:c r="G44" s="18" t="n">
        <x:f>G43*(1+C44)</x:f>
        <x:v>110.6157302271805</x:v>
      </x:c>
      <x:c r="H44" s="17" t="n">
        <x:v>0.008047560252699117</x:v>
      </x:c>
      <x:c r="I44" s="17" t="n">
        <x:v>0.007010850779747359</x:v>
      </x:c>
    </x:row>
    <x:row r="45">
      <x:c r="A45" s="16" t="n">
        <x:v>39721</x:v>
      </x:c>
      <x:c r="B45" s="17" t="n">
        <x:v>-0.040508580514444614</x:v>
      </x:c>
      <x:c r="C45" s="17" t="n">
        <x:v>-0.04781898241956373</x:v>
      </x:c>
      <x:c r="D45" s="18" t="n">
        <x:v>1.1257492986936408</x:v>
      </x:c>
      <x:c r="E45" s="18" t="n">
        <x:v>0.9930087996826589</x:v>
      </x:c>
      <x:c r="F45" s="18" t="n">
        <x:f>F44*(1+B45)</x:f>
        <x:v>101.66558837661256</x:v>
      </x:c>
      <x:c r="G45" s="18" t="n">
        <x:f>G44*(1+C45)</x:f>
        <x:v>105.32619856811976</x:v>
      </x:c>
      <x:c r="H45" s="17" t="n">
        <x:v>-0.042008580514444616</x:v>
      </x:c>
      <x:c r="I45" s="17" t="n">
        <x:v>-0.04931898241956373</x:v>
      </x:c>
    </x:row>
    <x:row r="46">
      <x:c r="A46" s="16" t="n">
        <x:v>39752</x:v>
      </x:c>
      <x:c r="B46" s="17" t="n">
        <x:v>-0.10303202972823289</x:v>
      </x:c>
      <x:c r="C46" s="17" t="n">
        <x:v>-0.11074320575374019</x:v>
      </x:c>
      <x:c r="D46" s="18" t="n">
        <x:v>1.152783441772869</x:v>
      </x:c>
      <x:c r="E46" s="18" t="n">
        <x:v>1.0654863348011898</x:v>
      </x:c>
      <x:c r="F46" s="18" t="n">
        <x:f>F45*(1+B46)</x:f>
        <x:v>91.19077645265513</x:v>
      </x:c>
      <x:c r="G46" s="18" t="n">
        <x:f>G45*(1+C46)</x:f>
        <x:v>93.66203768883118</x:v>
      </x:c>
      <x:c r="H46" s="17" t="n">
        <x:v>-0.10383202972823288</x:v>
      </x:c>
      <x:c r="I46" s="17" t="n">
        <x:v>-0.11154320575374019</x:v>
      </x:c>
    </x:row>
    <x:row r="47">
      <x:c r="A47" s="16" t="n">
        <x:v>39782</x:v>
      </x:c>
      <x:c r="B47" s="17" t="n">
        <x:v>0.02147475883878891</x:v>
      </x:c>
      <x:c r="C47" s="17" t="n">
        <x:v>0.020579805230115822</x:v>
      </x:c>
      <x:c r="D47" s="18" t="n">
        <x:v>1.1390910344898235</x:v>
      </x:c>
      <x:c r="E47" s="18" t="n">
        <x:v>1.072760596820181</x:v>
      </x:c>
      <x:c r="F47" s="18" t="n">
        <x:f>F46*(1+B47)</x:f>
        <x:v>93.1490763852978</x:v>
      </x:c>
      <x:c r="G47" s="18" t="n">
        <x:f>G46*(1+C47)</x:f>
        <x:v>95.58958418192309</x:v>
      </x:c>
      <x:c r="H47" s="17" t="n">
        <x:v>0.021174758838788908</x:v>
      </x:c>
      <x:c r="I47" s="17" t="n">
        <x:v>0.02027980523011582</x:v>
      </x:c>
    </x:row>
    <x:row r="48">
      <x:c r="A48" s="16" t="n">
        <x:v>39813</x:v>
      </x:c>
      <x:c r="B48" s="17" t="n">
        <x:v>0.04669116115176175</x:v>
      </x:c>
      <x:c r="C48" s="17" t="n">
        <x:v>0.04283867184833934</x:v>
      </x:c>
      <x:c r="D48" s="18" t="n">
        <x:v>0.7617878180685702</x:v>
      </x:c>
      <x:c r="E48" s="18" t="n">
        <x:v>0.6701686062613145</x:v>
      </x:c>
      <x:c r="F48" s="18" t="n">
        <x:f>F47*(1+B48)</x:f>
        <x:v>97.49831492194151</x:v>
      </x:c>
      <x:c r="G48" s="18" t="n">
        <x:f>G47*(1+C48)</x:f>
        <x:v>99.6845150108117</x:v>
      </x:c>
      <x:c r="H48" s="17" t="n">
        <x:v>0.04669116115176175</x:v>
      </x:c>
      <x:c r="I48" s="17" t="n">
        <x:v>0.04283867184833934</x:v>
      </x:c>
    </x:row>
    <x:row r="49">
      <x:c r="A49" s="16" t="n">
        <x:v>39844</x:v>
      </x:c>
      <x:c r="B49" s="17" t="n">
        <x:v>0.033034119154421004</x:v>
      </x:c>
      <x:c r="C49" s="17" t="n">
        <x:v>0.04370474431609317</x:v>
      </x:c>
      <x:c r="D49" s="18" t="n">
        <x:v>0.9083431898659506</x:v>
      </x:c>
      <x:c r="E49" s="18" t="n">
        <x:v>0.8973189833519225</x:v>
      </x:c>
      <x:c r="F49" s="18" t="n">
        <x:f>F48*(1+B49)</x:f>
        <x:v>100.71908587442819</x:v>
      </x:c>
      <x:c r="G49" s="18" t="n">
        <x:f>G48*(1+C49)</x:f>
        <x:v>104.04120125163297</x:v>
      </x:c>
      <x:c r="H49" s="17" t="n">
        <x:v>0.033034119154421004</x:v>
      </x:c>
      <x:c r="I49" s="17" t="n">
        <x:v>0.04370474431609317</x:v>
      </x:c>
    </x:row>
    <x:row r="50">
      <x:c r="A50" s="16" t="n">
        <x:v>39872</x:v>
      </x:c>
      <x:c r="B50" s="17" t="n">
        <x:v>0.0005995674158032482</x:v>
      </x:c>
      <x:c r="C50" s="17" t="n">
        <x:v>-0.0012110413748971371</x:v>
      </x:c>
      <x:c r="D50" s="18" t="n">
        <x:v>0.7949720222197153</x:v>
      </x:c>
      <x:c r="E50" s="18" t="n">
        <x:v>0.6513400650763042</x:v>
      </x:c>
      <x:c r="F50" s="18" t="n">
        <x:f>F49*(1+B50)</x:f>
        <x:v>100.77947375646798</x:v>
      </x:c>
      <x:c r="G50" s="18" t="n">
        <x:f>G49*(1+C50)</x:f>
        <x:v>103.91520305222325</x:v>
      </x:c>
      <x:c r="H50" s="17" t="n">
        <x:v>0.0004995674158032482</x:v>
      </x:c>
      <x:c r="I50" s="17" t="n">
        <x:v>-0.0013110413748971372</x:v>
      </x:c>
    </x:row>
    <x:row r="51">
      <x:c r="A51" s="16" t="n">
        <x:v>39903</x:v>
      </x:c>
      <x:c r="B51" s="17" t="n">
        <x:v>0.015504501200601206</x:v>
      </x:c>
      <x:c r="C51" s="17" t="n">
        <x:v>0.031121924934771616</x:v>
      </x:c>
      <x:c r="D51" s="18" t="n">
        <x:v>0.5900654114423591</x:v>
      </x:c>
      <x:c r="E51" s="18" t="n">
        <x:v>0.5396639361363238</x:v>
      </x:c>
      <x:c r="F51" s="18" t="n">
        <x:f>F50*(1+B51)</x:f>
        <x:v>102.34200922832109</x:v>
      </x:c>
      <x:c r="G51" s="18" t="n">
        <x:f>G50*(1+C51)</x:f>
        <x:v>107.14924420119608</x:v>
      </x:c>
      <x:c r="H51" s="17" t="n">
        <x:v>0.015304501200601206</x:v>
      </x:c>
      <x:c r="I51" s="17" t="n">
        <x:v>0.030921924934771618</x:v>
      </x:c>
    </x:row>
    <x:row r="52">
      <x:c r="A52" s="16" t="n">
        <x:v>39933</x:v>
      </x:c>
      <x:c r="B52" s="17" t="n">
        <x:v>0.04159957138987602</x:v>
      </x:c>
      <x:c r="C52" s="17" t="n">
        <x:v>0.05636876611290176</x:v>
      </x:c>
      <x:c r="D52" s="18" t="n">
        <x:v>0.627339095134279</x:v>
      </x:c>
      <x:c r="E52" s="18" t="n">
        <x:v>0.5863258711773134</x:v>
      </x:c>
      <x:c r="F52" s="18" t="n">
        <x:f>F51*(1+B52)</x:f>
        <x:v>106.59939294739799</x:v>
      </x:c>
      <x:c r="G52" s="18" t="n">
        <x:f>G51*(1+C52)</x:f>
        <x:v>113.1891148867475</x:v>
      </x:c>
      <x:c r="H52" s="17" t="n">
        <x:v>0.04149957138987602</x:v>
      </x:c>
      <x:c r="I52" s="17" t="n">
        <x:v>0.056268766112901755</x:v>
      </x:c>
    </x:row>
    <x:row r="53">
      <x:c r="A53" s="16" t="n">
        <x:v>39964</x:v>
      </x:c>
      <x:c r="B53" s="17" t="n">
        <x:v>0.03239642458011516</x:v>
      </x:c>
      <x:c r="C53" s="17" t="n">
        <x:v>0.047218376598170186</x:v>
      </x:c>
      <x:c r="D53" s="18" t="n">
        <x:v>0.6898893905313496</x:v>
      </x:c>
      <x:c r="E53" s="18" t="n">
        <x:v>0.41958147987559935</x:v>
      </x:c>
      <x:c r="F53" s="18" t="n">
        <x:f>F52*(1+B53)</x:f>
        <x:v>110.05283214130442</x:v>
      </x:c>
      <x:c r="G53" s="18" t="n">
        <x:f>G52*(1+C53)</x:f>
        <x:v>118.5337211402835</x:v>
      </x:c>
      <x:c r="H53" s="17" t="n">
        <x:v>0.03239642458011516</x:v>
      </x:c>
      <x:c r="I53" s="17" t="n">
        <x:v>0.047218376598170186</x:v>
      </x:c>
    </x:row>
    <x:row r="54">
      <x:c r="A54" s="16" t="n">
        <x:v>39994</x:v>
      </x:c>
      <x:c r="B54" s="17" t="n">
        <x:v>0.01995906564653116</x:v>
      </x:c>
      <x:c r="C54" s="17" t="n">
        <x:v>0.01793018477390662</x:v>
      </x:c>
      <x:c r="D54" s="18" t="n">
        <x:v>0.5905903167008106</x:v>
      </x:c>
      <x:c r="E54" s="18" t="n">
        <x:v>0.37971635716094476</x:v>
      </x:c>
      <x:c r="F54" s="18" t="n">
        <x:f>F53*(1+B54)</x:f>
        <x:v>112.24938384259939</x:v>
      </x:c>
      <x:c r="G54" s="18" t="n">
        <x:f>G53*(1+C54)</x:f>
        <x:v>120.65905266226751</x:v>
      </x:c>
      <x:c r="H54" s="17" t="n">
        <x:v>0.01985906564653116</x:v>
      </x:c>
      <x:c r="I54" s="17" t="n">
        <x:v>0.017830184773906622</x:v>
      </x:c>
    </x:row>
    <x:row r="55">
      <x:c r="A55" s="16" t="n">
        <x:v>40025</x:v>
      </x:c>
      <x:c r="B55" s="17" t="n">
        <x:v>0.020211451243201672</x:v>
      </x:c>
      <x:c r="C55" s="17" t="n">
        <x:v>0.019905205895029532</x:v>
      </x:c>
      <x:c r="D55" s="18" t="n">
        <x:v>0.5920159796713381</x:v>
      </x:c>
      <x:c r="E55" s="18" t="n">
        <x:v>0.39183011012329555</x:v>
      </x:c>
      <x:c r="F55" s="18" t="n">
        <x:f>F54*(1+B55)</x:f>
        <x:v>114.51810679121351</x:v>
      </x:c>
      <x:c r="G55" s="18" t="n">
        <x:f>G54*(1+C55)</x:f>
        <x:v>123.06079594860915</x:v>
      </x:c>
      <x:c r="H55" s="17" t="n">
        <x:v>0.020111451243201673</x:v>
      </x:c>
      <x:c r="I55" s="17" t="n">
        <x:v>0.019805205895029532</x:v>
      </x:c>
    </x:row>
    <x:row r="56">
      <x:c r="A56" s="16" t="n">
        <x:v>40056</x:v>
      </x:c>
      <x:c r="B56" s="17" t="n">
        <x:v>0.012113187140695647</x:v>
      </x:c>
      <x:c r="C56" s="17" t="n">
        <x:v>0.015508494862410682</x:v>
      </x:c>
      <x:c r="D56" s="18" t="n">
        <x:v>0.6874541729448538</x:v>
      </x:c>
      <x:c r="E56" s="18" t="n">
        <x:v>0.42098293094921746</x:v>
      </x:c>
      <x:c r="F56" s="18" t="n">
        <x:f>F55*(1+B56)</x:f>
        <x:v>115.90528604977365</x:v>
      </x:c>
      <x:c r="G56" s="18" t="n">
        <x:f>G55*(1+C56)</x:f>
        <x:v>124.96928367034234</x:v>
      </x:c>
      <x:c r="H56" s="17" t="n">
        <x:v>0.012013187140695648</x:v>
      </x:c>
      <x:c r="I56" s="17" t="n">
        <x:v>0.015408494862410683</x:v>
      </x:c>
    </x:row>
    <x:row r="57">
      <x:c r="A57" s="16" t="n">
        <x:v>40086</x:v>
      </x:c>
      <x:c r="B57" s="17" t="n">
        <x:v>0.0156844424443785</x:v>
      </x:c>
      <x:c r="C57" s="17" t="n">
        <x:v>0.022109492400940622</x:v>
      </x:c>
      <x:c r="D57" s="18" t="n">
        <x:v>0.49724903445933427</x:v>
      </x:c>
      <x:c r="E57" s="18" t="n">
        <x:v>0.2964237713837194</x:v>
      </x:c>
      <x:c r="F57" s="18" t="n">
        <x:f>F56*(1+B57)</x:f>
        <x:v>117.72319583782055</x:v>
      </x:c>
      <x:c r="G57" s="18" t="n">
        <x:f>G56*(1+C57)</x:f>
        <x:v>127.73229109800276</x:v>
      </x:c>
      <x:c r="H57" s="17" t="n">
        <x:v>0.0155844424443785</x:v>
      </x:c>
      <x:c r="I57" s="17" t="n">
        <x:v>0.022009492400940623</x:v>
      </x:c>
    </x:row>
    <x:row r="58">
      <x:c r="A58" s="16" t="n">
        <x:v>40117</x:v>
      </x:c>
      <x:c r="B58" s="17" t="n">
        <x:v>0.004957326581023214</x:v>
      </x:c>
      <x:c r="C58" s="17" t="n">
        <x:v>0.005410205687320202</x:v>
      </x:c>
      <x:c r="D58" s="18" t="n">
        <x:v>0.5271904121000537</x:v>
      </x:c>
      <x:c r="E58" s="18" t="n">
        <x:v>0.36802913110905106</x:v>
      </x:c>
      <x:c r="F58" s="18" t="n">
        <x:f>F57*(1+B58)</x:f>
        <x:v>118.30678816575039</x:v>
      </x:c>
      <x:c r="G58" s="18" t="n">
        <x:f>G57*(1+C58)</x:f>
        <x:v>128.42334906575562</x:v>
      </x:c>
      <x:c r="H58" s="17" t="n">
        <x:v>0.004957326581023214</x:v>
      </x:c>
      <x:c r="I58" s="17" t="n">
        <x:v>0.005410205687320202</x:v>
      </x:c>
    </x:row>
    <x:row r="59">
      <x:c r="A59" s="16" t="n">
        <x:v>40147</x:v>
      </x:c>
      <x:c r="B59" s="17" t="n">
        <x:v>0.007941186857467697</x:v>
      </x:c>
      <x:c r="C59" s="17" t="n">
        <x:v>0.006262698064094296</x:v>
      </x:c>
      <x:c r="D59" s="18" t="n">
        <x:v>0.6001072489709001</x:v>
      </x:c>
      <x:c r="E59" s="18" t="n">
        <x:v>0.36195168825369844</x:v>
      </x:c>
      <x:c r="F59" s="18" t="n">
        <x:f>F58*(1+B59)</x:f>
        <x:v>119.24628447708146</x:v>
      </x:c>
      <x:c r="G59" s="18" t="n">
        <x:f>G58*(1+C59)</x:f>
        <x:v>129.22762572533424</x:v>
      </x:c>
      <x:c r="H59" s="17" t="n">
        <x:v>0.007941186857467697</x:v>
      </x:c>
      <x:c r="I59" s="17" t="n">
        <x:v>0.006262698064094296</x:v>
      </x:c>
    </x:row>
    <x:row r="60">
      <x:c r="A60" s="16" t="n">
        <x:v>40178</x:v>
      </x:c>
      <x:c r="B60" s="17" t="n">
        <x:v>0.0006922541805514104</x:v>
      </x:c>
      <x:c r="C60" s="17" t="n">
        <x:v>0.004639886997685805</x:v>
      </x:c>
      <x:c r="D60" s="18" t="n">
        <x:v>0.5746855252999157</x:v>
      </x:c>
      <x:c r="E60" s="18" t="n">
        <x:v>0.37960349812616534</x:v>
      </x:c>
      <x:c r="F60" s="18" t="n">
        <x:f>F59*(1+B60)</x:f>
        <x:v>119.32883321602594</x:v>
      </x:c>
      <x:c r="G60" s="18" t="n">
        <x:f>G59*(1+C60)</x:f>
        <x:v>129.82722730567903</x:v>
      </x:c>
      <x:c r="H60" s="17" t="n">
        <x:v>0.0005922541805514104</x:v>
      </x:c>
      <x:c r="I60" s="17" t="n">
        <x:v>0.0045398869976858046</x:v>
      </x:c>
    </x:row>
    <x:row r="61">
      <x:c r="A61" s="16" t="n">
        <x:v>40209</x:v>
      </x:c>
      <x:c r="B61" s="17" t="n">
        <x:v>0.009356371297424504</x:v>
      </x:c>
      <x:c r="C61" s="17" t="n">
        <x:v>0.008300165411476268</x:v>
      </x:c>
      <x:c r="D61" s="18" t="n">
        <x:v>0.551771409257291</x:v>
      </x:c>
      <x:c r="E61" s="18" t="n">
        <x:v>0.3566831543976615</x:v>
      </x:c>
      <x:c r="F61" s="18" t="n">
        <x:f>F60*(1+B61)</x:f>
        <x:v>120.44531808608352</x:v>
      </x:c>
      <x:c r="G61" s="18" t="n">
        <x:f>G60*(1+C61)</x:f>
        <x:v>130.90481476722948</x:v>
      </x:c>
      <x:c r="H61" s="17" t="n">
        <x:v>0.009356371297424504</x:v>
      </x:c>
      <x:c r="I61" s="17" t="n">
        <x:v>0.008300165411476268</x:v>
      </x:c>
    </x:row>
    <x:row r="62">
      <x:c r="A62" s="16" t="n">
        <x:v>40237</x:v>
      </x:c>
      <x:c r="B62" s="17" t="n">
        <x:v>-0.00003317295287574851</x:v>
      </x:c>
      <x:c r="C62" s="17" t="n">
        <x:v>0.0007370291315367261</x:v>
      </x:c>
      <x:c r="D62" s="18" t="n">
        <x:v>0.6181629618467355</x:v>
      </x:c>
      <x:c r="E62" s="18" t="n">
        <x:v>0.3707868031766359</x:v>
      </x:c>
      <x:c r="F62" s="18" t="n">
        <x:f>F61*(1+B62)</x:f>
        <x:v>120.44132255922254</x:v>
      </x:c>
      <x:c r="G62" s="18" t="n">
        <x:f>G61*(1+C62)</x:f>
        <x:v>131.00129542917134</x:v>
      </x:c>
      <x:c r="H62" s="17" t="n">
        <x:v>-0.00003317295287574851</x:v>
      </x:c>
      <x:c r="I62" s="17" t="n">
        <x:v>0.0007370291315367261</x:v>
      </x:c>
    </x:row>
    <x:row r="63">
      <x:c r="A63" s="16" t="n">
        <x:v>40268</x:v>
      </x:c>
      <x:c r="B63" s="17" t="n">
        <x:v>0.006665683703521497</x:v>
      </x:c>
      <x:c r="C63" s="17" t="n">
        <x:v>0.009609490740465576</x:v>
      </x:c>
      <x:c r="D63" s="18" t="n">
        <x:v>0.5164243906200955</x:v>
      </x:c>
      <x:c r="E63" s="18" t="n">
        <x:v>0.32619479854080924</x:v>
      </x:c>
      <x:c r="F63" s="18" t="n">
        <x:f>F62*(1+B63)</x:f>
        <x:v>121.24414632023613</x:v>
      </x:c>
      <x:c r="G63" s="18" t="n">
        <x:f>G62*(1+C63)</x:f>
        <x:v>132.26015116458694</x:v>
      </x:c>
      <x:c r="H63" s="17" t="n">
        <x:v>0.006565683703521496</x:v>
      </x:c>
      <x:c r="I63" s="17" t="n">
        <x:v>0.009509490740465577</x:v>
      </x:c>
    </x:row>
    <x:row r="64">
      <x:c r="A64" s="16" t="n">
        <x:v>40298</x:v>
      </x:c>
      <x:c r="B64" s="17" t="n">
        <x:v>0.01027448196319769</x:v>
      </x:c>
      <x:c r="C64" s="17" t="n">
        <x:v>0.009196010293140988</x:v>
      </x:c>
      <x:c r="D64" s="18" t="n">
        <x:v>0.519210197188693</x:v>
      </x:c>
      <x:c r="E64" s="18" t="n">
        <x:v>0.2955077874086565</x:v>
      </x:c>
      <x:c r="F64" s="18" t="n">
        <x:f>F63*(1+B64)</x:f>
        <x:v>122.48986711474669</x:v>
      </x:c>
      <x:c r="G64" s="18" t="n">
        <x:f>G63*(1+C64)</x:f>
        <x:v>133.47641687606887</x:v>
      </x:c>
      <x:c r="H64" s="17" t="n">
        <x:v>0.01017448196319769</x:v>
      </x:c>
      <x:c r="I64" s="17" t="n">
        <x:v>0.009096010293140989</x:v>
      </x:c>
    </x:row>
    <x:row r="65">
      <x:c r="A65" s="16" t="n">
        <x:v>40329</x:v>
      </x:c>
      <x:c r="B65" s="17" t="n">
        <x:v>-0.007219159144260412</x:v>
      </x:c>
      <x:c r="C65" s="17" t="n">
        <x:v>-0.007932654982908405</x:v>
      </x:c>
      <x:c r="D65" s="18" t="n">
        <x:v>0.5410453012443024</x:v>
      </x:c>
      <x:c r="E65" s="18" t="n">
        <x:v>0.3153578753500005</x:v>
      </x:c>
      <x:c r="F65" s="18" t="n">
        <x:f>F64*(1+B65)</x:f>
        <x:v>121.60559327048603</x:v>
      </x:c>
      <x:c r="G65" s="18" t="n">
        <x:f>G64*(1+C65)</x:f>
        <x:v>132.41759451263616</x:v>
      </x:c>
      <x:c r="H65" s="17" t="n">
        <x:v>-0.007319159144260412</x:v>
      </x:c>
      <x:c r="I65" s="17" t="n">
        <x:v>-0.008032654982908404</x:v>
      </x:c>
    </x:row>
    <x:row r="66">
      <x:c r="A66" s="16" t="n">
        <x:v>40359</x:v>
      </x:c>
      <x:c r="B66" s="17" t="n">
        <x:v>0.007261845122233268</x:v>
      </x:c>
      <x:c r="C66" s="17" t="n">
        <x:v>0.006161895776053639</x:v>
      </x:c>
      <x:c r="D66" s="18" t="n">
        <x:v>0.5510769455601248</x:v>
      </x:c>
      <x:c r="E66" s="18" t="n">
        <x:v>0.41555430180533726</x:v>
      </x:c>
      <x:c r="F66" s="18" t="n">
        <x:f>F65*(1+B66)</x:f>
        <x:v>122.48867425481359</x:v>
      </x:c>
      <x:c r="G66" s="18" t="n">
        <x:f>G65*(1+C66)</x:f>
        <x:v>133.23353792893874</x:v>
      </x:c>
      <x:c r="H66" s="17" t="n">
        <x:v>0.007161845122233268</x:v>
      </x:c>
      <x:c r="I66" s="17" t="n">
        <x:v>0.006061895776053638</x:v>
      </x:c>
    </x:row>
    <x:row r="67">
      <x:c r="A67" s="16" t="n">
        <x:v>40390</x:v>
      </x:c>
      <x:c r="B67" s="17" t="n">
        <x:v>0.009567277737453805</x:v>
      </x:c>
      <x:c r="C67" s="17" t="n">
        <x:v>0.008537340737002186</x:v>
      </x:c>
      <x:c r="D67" s="18" t="n">
        <x:v>0.5265271458721015</x:v>
      </x:c>
      <x:c r="E67" s="18" t="n">
        <x:v>0.38171174095022</x:v>
      </x:c>
      <x:c r="F67" s="18" t="n">
        <x:f>F66*(1+B67)</x:f>
        <x:v>123.6605574211019</x:v>
      </x:c>
      <x:c r="G67" s="18" t="n">
        <x:f>G66*(1+C67)</x:f>
        <x:v>134.3709980398344</x:v>
      </x:c>
      <x:c r="H67" s="17" t="n">
        <x:v>0.009467277737453806</x:v>
      </x:c>
      <x:c r="I67" s="17" t="n">
        <x:v>0.008437340737002186</x:v>
      </x:c>
    </x:row>
    <x:row r="68">
      <x:c r="A68" s="16" t="n">
        <x:v>40421</x:v>
      </x:c>
      <x:c r="B68" s="17" t="n">
        <x:v>0.005760029331578265</x:v>
      </x:c>
      <x:c r="C68" s="17" t="n">
        <x:v>0.005012224343148297</x:v>
      </x:c>
      <x:c r="D68" s="18" t="n">
        <x:v>0.6752558015556149</x:v>
      </x:c>
      <x:c r="E68" s="18" t="n">
        <x:v>0.46426433744193984</x:v>
      </x:c>
      <x:c r="F68" s="18" t="n">
        <x:f>F67*(1+B68)</x:f>
        <x:v>124.37284585900676</x:v>
      </x:c>
      <x:c r="G68" s="18" t="n">
        <x:f>G67*(1+C68)</x:f>
        <x:v>135.0444956272228</x:v>
      </x:c>
      <x:c r="H68" s="17" t="n">
        <x:v>0.005660029331578264</x:v>
      </x:c>
      <x:c r="I68" s="17" t="n">
        <x:v>0.004912224343148297</x:v>
      </x:c>
    </x:row>
    <x:row r="69">
      <x:c r="A69" s="16" t="n">
        <x:v>40451</x:v>
      </x:c>
      <x:c r="B69" s="17" t="n">
        <x:v>0.002774434890841615</x:v>
      </x:c>
      <x:c r="C69" s="17" t="n">
        <x:v>0.002656316984178453</x:v>
      </x:c>
      <x:c r="D69" s="18" t="n">
        <x:v>0.6466080601280839</x:v>
      </x:c>
      <x:c r="E69" s="18" t="n">
        <x:v>0.44821823491587165</x:v>
      </x:c>
      <x:c r="F69" s="18" t="n">
        <x:f>F68*(1+B69)</x:f>
        <x:v>124.71791022203125</x:v>
      </x:c>
      <x:c r="G69" s="18" t="n">
        <x:f>G68*(1+C69)</x:f>
        <x:v>135.40321661457722</x:v>
      </x:c>
      <x:c r="H69" s="17" t="n">
        <x:v>0.002674434890841615</x:v>
      </x:c>
      <x:c r="I69" s="17" t="n">
        <x:v>0.002556316984178453</x:v>
      </x:c>
    </x:row>
    <x:row r="70">
      <x:c r="A70" s="16" t="n">
        <x:v>40482</x:v>
      </x:c>
      <x:c r="B70" s="17" t="n">
        <x:v>0.003558507745360373</x:v>
      </x:c>
      <x:c r="C70" s="17" t="n">
        <x:v>0.004814163174480468</x:v>
      </x:c>
      <x:c r="D70" s="18" t="n">
        <x:v>0.7166071510438863</x:v>
      </x:c>
      <x:c r="E70" s="18" t="n">
        <x:v>0.494481584630579</x:v>
      </x:c>
      <x:c r="F70" s="18" t="n">
        <x:f>F69*(1+B70)</x:f>
        <x:v>125.16171987154151</x:v>
      </x:c>
      <x:c r="G70" s="18" t="n">
        <x:f>G69*(1+C70)</x:f>
        <x:v>136.05506979370932</x:v>
      </x:c>
      <x:c r="H70" s="17" t="n">
        <x:v>0.0034585077453603732</x:v>
      </x:c>
      <x:c r="I70" s="17" t="n">
        <x:v>0.004714163174480468</x:v>
      </x:c>
    </x:row>
    <x:row r="71">
      <x:c r="A71" s="16" t="n">
        <x:v>40512</x:v>
      </x:c>
      <x:c r="B71" s="17" t="n">
        <x:v>-0.003962352745098374</x:v>
      </x:c>
      <x:c r="C71" s="17" t="n">
        <x:v>-0.001852992899809336</x:v>
      </x:c>
      <x:c r="D71" s="18" t="n">
        <x:v>0.8025592959867252</x:v>
      </x:c>
      <x:c r="E71" s="18" t="n">
        <x:v>0.48256760570978763</x:v>
      </x:c>
      <x:c r="F71" s="18" t="n">
        <x:f>F70*(1+B71)</x:f>
        <x:v>124.66578498722727</x:v>
      </x:c>
      <x:c r="G71" s="18" t="n">
        <x:f>G70*(1+C71)</x:f>
        <x:v>135.8029607153985</x:v>
      </x:c>
      <x:c r="H71" s="17" t="n">
        <x:v>-0.0040623527450983745</x:v>
      </x:c>
      <x:c r="I71" s="17" t="n">
        <x:v>-0.001952992899809336</x:v>
      </x:c>
    </x:row>
    <x:row r="72">
      <x:c r="A72" s="16" t="n">
        <x:v>40543</x:v>
      </x:c>
      <x:c r="B72" s="17" t="n">
        <x:v>-0.002537128115913556</x:v>
      </x:c>
      <x:c r="C72" s="17" t="n">
        <x:v>0.001974028313220577</x:v>
      </x:c>
      <x:c r="D72" s="18" t="n">
        <x:v>0.8611320611242894</x:v>
      </x:c>
      <x:c r="E72" s="18" t="n">
        <x:v>0.4639355304201922</x:v>
      </x:c>
      <x:c r="F72" s="18" t="n">
        <x:f>F71*(1+B72)</x:f>
        <x:v>124.34949191904374</x:v>
      </x:c>
      <x:c r="G72" s="18" t="n">
        <x:f>G71*(1+C72)</x:f>
        <x:v>136.0710396048699</x:v>
      </x:c>
      <x:c r="H72" s="17" t="n">
        <x:v>-0.002637128115913556</x:v>
      </x:c>
      <x:c r="I72" s="17" t="n">
        <x:v>0.001874028313220577</x:v>
      </x:c>
    </x:row>
    <x:row r="73">
      <x:c r="A73" s="16" t="n">
        <x:v>40574</x:v>
      </x:c>
      <x:c r="B73" s="17" t="n">
        <x:v>0.007850380371206445</x:v>
      </x:c>
      <x:c r="C73" s="17" t="n">
        <x:v>0.006232795427590032</x:v>
      </x:c>
      <x:c r="D73" s="18" t="n">
        <x:v>0.7963811899464596</x:v>
      </x:c>
      <x:c r="E73" s="18" t="n">
        <x:v>0.4611096235503075</x:v>
      </x:c>
      <x:c r="F73" s="18" t="n">
        <x:f>F72*(1+B73)</x:f>
        <x:v>125.3256827295745</x:v>
      </x:c>
      <x:c r="G73" s="18" t="n">
        <x:f>G72*(1+C73)</x:f>
        <x:v>136.91914255834655</x:v>
      </x:c>
      <x:c r="H73" s="17" t="n">
        <x:v>0.007750380371206444</x:v>
      </x:c>
      <x:c r="I73" s="17" t="n">
        <x:v>0.006132795427590032</x:v>
      </x:c>
    </x:row>
    <x:row r="74">
      <x:c r="A74" s="16" t="n">
        <x:v>40602</x:v>
      </x:c>
      <x:c r="B74" s="17" t="n">
        <x:v>0.008965283874241559</x:v>
      </x:c>
      <x:c r="C74" s="17" t="n">
        <x:v>0.00794921336936838</x:v>
      </x:c>
      <x:c r="D74" s="18" t="n">
        <x:v>0.954475026805932</x:v>
      </x:c>
      <x:c r="E74" s="18" t="n">
        <x:v>0.4040694970897012</x:v>
      </x:c>
      <x:c r="F74" s="18" t="n">
        <x:f>F73*(1+B74)</x:f>
        <x:v>126.44926305197826</x:v>
      </x:c>
      <x:c r="G74" s="18" t="n">
        <x:f>G73*(1+C74)</x:f>
        <x:v>138.00754203689382</x:v>
      </x:c>
      <x:c r="H74" s="17" t="n">
        <x:v>0.00886528387424156</x:v>
      </x:c>
      <x:c r="I74" s="17" t="n">
        <x:v>0.00784921336936838</x:v>
      </x:c>
    </x:row>
    <x:row r="75">
      <x:c r="A75" s="16" t="n">
        <x:v>40633</x:v>
      </x:c>
      <x:c r="B75" s="17" t="n">
        <x:v>0.0004723978533824891</x:v>
      </x:c>
      <x:c r="C75" s="17" t="n">
        <x:v>0.00047723031943514016</x:v>
      </x:c>
      <x:c r="D75" s="18" t="n">
        <x:v>0.8745978662788765</x:v>
      </x:c>
      <x:c r="E75" s="18" t="n">
        <x:v>0.439432752707048</x:v>
      </x:c>
      <x:c r="F75" s="18" t="n">
        <x:f>F74*(1+B75)</x:f>
        <x:v>126.50899741240582</x:v>
      </x:c>
      <x:c r="G75" s="18" t="n">
        <x:f>G74*(1+C75)</x:f>
        <x:v>138.07340342026455</x:v>
      </x:c>
      <x:c r="H75" s="17" t="n">
        <x:v>0.0003723978533824891</x:v>
      </x:c>
      <x:c r="I75" s="17" t="n">
        <x:v>0.00037723031943514017</x:v>
      </x:c>
    </x:row>
    <x:row r="76">
      <x:c r="A76" s="16" t="n">
        <x:v>40663</x:v>
      </x:c>
      <x:c r="B76" s="17" t="n">
        <x:v>0.011881440811579269</x:v>
      </x:c>
      <x:c r="C76" s="17" t="n">
        <x:v>0.0081567027699605</x:v>
      </x:c>
      <x:c r="D76" s="18" t="n">
        <x:v>0.8852787484285407</x:v>
      </x:c>
      <x:c r="E76" s="18" t="n">
        <x:v>0.48513692548701826</x:v>
      </x:c>
      <x:c r="F76" s="18" t="n">
        <x:f>F75*(1+B76)</x:f>
        <x:v>128.01210657729357</x:v>
      </x:c>
      <x:c r="G76" s="18" t="n">
        <x:f>G75*(1+C76)</x:f>
        <x:v>139.1996271324005</x:v>
      </x:c>
      <x:c r="H76" s="17" t="n">
        <x:v>0.011881440811579269</x:v>
      </x:c>
      <x:c r="I76" s="17" t="n">
        <x:v>0.0081567027699605</x:v>
      </x:c>
    </x:row>
    <x:row r="77">
      <x:c r="A77" s="16" t="n">
        <x:v>40694</x:v>
      </x:c>
      <x:c r="B77" s="17" t="n">
        <x:v>0.013661560375867854</x:v>
      </x:c>
      <x:c r="C77" s="17" t="n">
        <x:v>0.009291276488774924</x:v>
      </x:c>
      <x:c r="D77" s="18" t="n">
        <x:v>1.152916345178748</x:v>
      </x:c>
      <x:c r="E77" s="18" t="n">
        <x:v>0.5959062331930958</x:v>
      </x:c>
      <x:c r="F77" s="18" t="n">
        <x:f>F76*(1+B77)</x:f>
        <x:v>129.7609517001413</x:v>
      </x:c>
      <x:c r="G77" s="18" t="n">
        <x:f>G76*(1+C77)</x:f>
        <x:v>140.49296935522202</x:v>
      </x:c>
      <x:c r="H77" s="17" t="n">
        <x:v>0.013661560375867854</x:v>
      </x:c>
      <x:c r="I77" s="17" t="n">
        <x:v>0.009291276488774924</x:v>
      </x:c>
    </x:row>
    <x:row r="78">
      <x:c r="A78" s="16" t="n">
        <x:v>40724</x:v>
      </x:c>
      <x:c r="B78" s="17" t="n">
        <x:v>-0.011160943466642426</x:v>
      </x:c>
      <x:c r="C78" s="17" t="n">
        <x:v>-0.012025239629729234</x:v>
      </x:c>
      <x:c r="D78" s="18" t="n">
        <x:v>1.1224016620665016</x:v>
      </x:c>
      <x:c r="E78" s="18" t="n">
        <x:v>0.8446091622855798</x:v>
      </x:c>
      <x:c r="F78" s="18" t="n">
        <x:f>F77*(1+B78)</x:f>
        <x:v>128.31269705403832</x:v>
      </x:c>
      <x:c r="G78" s="18" t="n">
        <x:f>G77*(1+C78)</x:f>
        <x:v>138.80350773243327</x:v>
      </x:c>
      <x:c r="H78" s="17" t="n">
        <x:v>-0.011160943466642426</x:v>
      </x:c>
      <x:c r="I78" s="17" t="n">
        <x:v>-0.012025239629729234</x:v>
      </x:c>
    </x:row>
    <x:row r="79">
      <x:c r="A79" s="16" t="n">
        <x:v>40755</x:v>
      </x:c>
      <x:c r="B79" s="17" t="n">
        <x:v>0.023960417730273242</x:v>
      </x:c>
      <x:c r="C79" s="17" t="n">
        <x:v>0.020879342773088005</x:v>
      </x:c>
      <x:c r="D79" s="18" t="n">
        <x:v>1.1365253277881502</x:v>
      </x:c>
      <x:c r="E79" s="18" t="n">
        <x:v>0.8768092875446143</x:v>
      </x:c>
      <x:c r="F79" s="18" t="n">
        <x:f>F78*(1+B79)</x:f>
        <x:v>131.38712287555109</x:v>
      </x:c>
      <x:c r="G79" s="18" t="n">
        <x:f>G78*(1+C79)</x:f>
        <x:v>141.70163374848573</x:v>
      </x:c>
      <x:c r="H79" s="17" t="n">
        <x:v>0.023960417730273242</x:v>
      </x:c>
      <x:c r="I79" s="17" t="n">
        <x:v>0.020879342773088005</x:v>
      </x:c>
    </x:row>
    <x:row r="80">
      <x:c r="A80" s="16" t="n">
        <x:v>40786</x:v>
      </x:c>
      <x:c r="B80" s="17" t="n">
        <x:v>-0.015016918015834269</x:v>
      </x:c>
      <x:c r="C80" s="17" t="n">
        <x:v>-0.013850305972145316</x:v>
      </x:c>
      <x:c r="D80" s="18" t="n">
        <x:v>1.2673995680394055</x:v>
      </x:c>
      <x:c r="E80" s="18" t="n">
        <x:v>0.9962678356857535</x:v>
      </x:c>
      <x:c r="F80" s="18" t="n">
        <x:f>F79*(1+B80)</x:f>
        <x:v>129.4140932229926</x:v>
      </x:c>
      <x:c r="G80" s="18" t="n">
        <x:f>G79*(1+C80)</x:f>
        <x:v>139.73902276431633</x:v>
      </x:c>
      <x:c r="H80" s="17" t="n">
        <x:v>-0.015116918015834268</x:v>
      </x:c>
      <x:c r="I80" s="17" t="n">
        <x:v>-0.013950305972145315</x:v>
      </x:c>
    </x:row>
    <x:row r="81">
      <x:c r="A81" s="16" t="n">
        <x:v>40816</x:v>
      </x:c>
      <x:c r="B81" s="17" t="n">
        <x:v>-0.0013699387351818748</x:v>
      </x:c>
      <x:c r="C81" s="17" t="n">
        <x:v>-0.0007630072365888418</x:v>
      </x:c>
      <x:c r="D81" s="18" t="n">
        <x:v>1.1315013056571717</x:v>
      </x:c>
      <x:c r="E81" s="18" t="n">
        <x:v>1.0100327160655784</x:v>
      </x:c>
      <x:c r="F81" s="18" t="n">
        <x:f>F80*(1+B81)</x:f>
        <x:v>129.23680384380796</x:v>
      </x:c>
      <x:c r="G81" s="18" t="n">
        <x:f>G80*(1+C81)</x:f>
        <x:v>139.6324008787133</x:v>
      </x:c>
      <x:c r="H81" s="17" t="n">
        <x:v>-0.0013699387351818748</x:v>
      </x:c>
      <x:c r="I81" s="17" t="n">
        <x:v>-0.0007630072365888418</x:v>
      </x:c>
    </x:row>
    <x:row r="82">
      <x:c r="A82" s="16" t="n">
        <x:v>40847</x:v>
      </x:c>
      <x:c r="B82" s="17" t="n">
        <x:v>0.02675466490804812</x:v>
      </x:c>
      <x:c r="C82" s="17" t="n">
        <x:v>0.019759114759909435</x:v>
      </x:c>
      <x:c r="D82" s="18" t="n">
        <x:v>0.9227861270943378</x:v>
      </x:c>
      <x:c r="E82" s="18" t="n">
        <x:v>0.8434431880155666</x:v>
      </x:c>
      <x:c r="F82" s="18" t="n">
        <x:f>F81*(1+B82)</x:f>
        <x:v>132.69449122443618</x:v>
      </x:c>
      <x:c r="G82" s="18" t="n">
        <x:f>G81*(1+C82)</x:f>
        <x:v>142.39141351187746</x:v>
      </x:c>
      <x:c r="H82" s="17" t="n">
        <x:v>0.02675466490804812</x:v>
      </x:c>
      <x:c r="I82" s="17" t="n">
        <x:v>0.019759114759909435</x:v>
      </x:c>
    </x:row>
    <x:row r="83">
      <x:c r="A83" s="16" t="n">
        <x:v>40877</x:v>
      </x:c>
      <x:c r="B83" s="17" t="n">
        <x:v>-0.01213268864560535</x:v>
      </x:c>
      <x:c r="C83" s="17" t="n">
        <x:v>-0.018105516711522274</x:v>
      </x:c>
      <x:c r="D83" s="18" t="n">
        <x:v>1.571811088694126</x:v>
      </x:c>
      <x:c r="E83" s="18" t="n">
        <x:v>1.5830141470005077</x:v>
      </x:c>
      <x:c r="F83" s="18" t="n">
        <x:f>F82*(1+B83)</x:f>
        <x:v>131.0845502774231</x:v>
      </x:c>
      <x:c r="G83" s="18" t="n">
        <x:f>G82*(1+C83)</x:f>
        <x:v>139.8133433949609</x:v>
      </x:c>
      <x:c r="H83" s="17" t="n">
        <x:v>-0.01213268864560535</x:v>
      </x:c>
      <x:c r="I83" s="17" t="n">
        <x:v>-0.018105516711522274</x:v>
      </x:c>
    </x:row>
    <x:row r="84">
      <x:c r="A84" s="16" t="n">
        <x:v>40908</x:v>
      </x:c>
      <x:c r="B84" s="17" t="n">
        <x:v>0.02100816275819173</x:v>
      </x:c>
      <x:c r="C84" s="17" t="n">
        <x:v>0.021102192613711823</x:v>
      </x:c>
      <x:c r="D84" s="18" t="n">
        <x:v>1.0595233235210886</x:v>
      </x:c>
      <x:c r="E84" s="18" t="n">
        <x:v>1.1190030879154687</x:v>
      </x:c>
      <x:c r="F84" s="18" t="n">
        <x:f>F83*(1+B84)</x:f>
        <x:v>133.83839584473557</x:v>
      </x:c>
      <x:c r="G84" s="18" t="n">
        <x:f>G83*(1+C84)</x:f>
        <x:v>142.76371149724838</x:v>
      </x:c>
      <x:c r="H84" s="17" t="n">
        <x:v>0.02100816275819173</x:v>
      </x:c>
      <x:c r="I84" s="17" t="n">
        <x:v>0.021102192613711823</x:v>
      </x:c>
    </x:row>
    <x:row r="85">
      <x:c r="A85" s="16" t="n">
        <x:v>40939</x:v>
      </x:c>
      <x:c r="B85" s="17" t="n">
        <x:v>0.027282273191708395</x:v>
      </x:c>
      <x:c r="C85" s="17" t="n">
        <x:v>0.027657890789417605</x:v>
      </x:c>
      <x:c r="D85" s="18" t="n">
        <x:v>1.0324817308866887</x:v>
      </x:c>
      <x:c r="E85" s="18" t="n">
        <x:v>0.9359543806869537</x:v>
      </x:c>
      <x:c r="F85" s="18" t="n">
        <x:f>F84*(1+B85)</x:f>
        <x:v>137.48981152371167</x:v>
      </x:c>
      <x:c r="G85" s="18" t="n">
        <x:f>G84*(1+C85)</x:f>
        <x:v>146.7122546385312</x:v>
      </x:c>
      <x:c r="H85" s="17" t="n">
        <x:v>0.027282273191708395</x:v>
      </x:c>
      <x:c r="I85" s="17" t="n">
        <x:v>0.027657890789417605</x:v>
      </x:c>
    </x:row>
    <x:row r="86">
      <x:c r="A86" s="16" t="n">
        <x:v>40968</x:v>
      </x:c>
      <x:c r="B86" s="17" t="n">
        <x:v>0.01713556584298015</x:v>
      </x:c>
      <x:c r="C86" s="17" t="n">
        <x:v>0.01892337451315851</x:v>
      </x:c>
      <x:c r="D86" s="18" t="n">
        <x:v>1.239740310775479</x:v>
      </x:c>
      <x:c r="E86" s="18" t="n">
        <x:v>1.1525980162679492</x:v>
      </x:c>
      <x:c r="F86" s="18" t="n">
        <x:f>F85*(1+B86)</x:f>
        <x:v>139.84577724181517</x:v>
      </x:c>
      <x:c r="G86" s="18" t="n">
        <x:f>G85*(1+C86)</x:f>
        <x:v>149.488545578726</x:v>
      </x:c>
      <x:c r="H86" s="17" t="n">
        <x:v>0.01713556584298015</x:v>
      </x:c>
      <x:c r="I86" s="17" t="n">
        <x:v>0.01892337451315851</x:v>
      </x:c>
    </x:row>
    <x:row r="87">
      <x:c r="A87" s="16" t="n">
        <x:v>40999</x:v>
      </x:c>
      <x:c r="B87" s="17" t="n">
        <x:v>-0.0030710074388210495</x:v>
      </x:c>
      <x:c r="C87" s="17" t="n">
        <x:v>0.0022662946624185665</x:v>
      </x:c>
      <x:c r="D87" s="18" t="n">
        <x:v>1.1016833094667398</x:v>
      </x:c>
      <x:c r="E87" s="18" t="n">
        <x:v>0.8236558572563488</x:v>
      </x:c>
      <x:c r="F87" s="18" t="n">
        <x:f>F86*(1+B87)</x:f>
        <x:v>139.41630981961785</x:v>
      </x:c>
      <x:c r="G87" s="18" t="n">
        <x:f>G86*(1+C87)</x:f>
        <x:v>149.82733067166376</x:v>
      </x:c>
      <x:c r="H87" s="17" t="n">
        <x:v>-0.0030710074388210495</x:v>
      </x:c>
      <x:c r="I87" s="17" t="n">
        <x:v>0.0022662946624185665</x:v>
      </x:c>
    </x:row>
    <x:row r="88">
      <x:c r="A88" s="16" t="n">
        <x:v>41029</x:v>
      </x:c>
      <x:c r="B88" s="17" t="n">
        <x:v>0.012141968805645442</x:v>
      </x:c>
      <x:c r="C88" s="17" t="n">
        <x:v>0.011956914959879938</x:v>
      </x:c>
      <x:c r="D88" s="18" t="n">
        <x:v>1.0032438174861902</x:v>
      </x:c>
      <x:c r="E88" s="18" t="n">
        <x:v>0.9008274725837896</x:v>
      </x:c>
      <x:c r="F88" s="18" t="n">
        <x:f>F87*(1+B88)</x:f>
        <x:v>141.10909830444587</x:v>
      </x:c>
      <x:c r="G88" s="18" t="n">
        <x:f>G87*(1+C88)</x:f>
        <x:v>151.61880332317065</x:v>
      </x:c>
      <x:c r="H88" s="17" t="n">
        <x:v>0.012141968805645442</x:v>
      </x:c>
      <x:c r="I88" s="17" t="n">
        <x:v>0.011956914959879938</x:v>
      </x:c>
    </x:row>
    <x:row r="89">
      <x:c r="A89" s="16" t="n">
        <x:v>41060</x:v>
      </x:c>
      <x:c r="B89" s="17" t="n">
        <x:v>0.005196752151840345</x:v>
      </x:c>
      <x:c r="C89" s="17" t="n">
        <x:v>0.006348584431205007</x:v>
      </x:c>
      <x:c r="D89" s="18" t="n">
        <x:v>1.2581277741391135</x:v>
      </x:c>
      <x:c r="E89" s="18" t="n">
        <x:v>1.196272497112945</x:v>
      </x:c>
      <x:c r="F89" s="18" t="n">
        <x:f>F88*(1+B89)</x:f>
        <x:v>141.84240731470373</x:v>
      </x:c>
      <x:c r="G89" s="18" t="n">
        <x:f>G88*(1+C89)</x:f>
        <x:v>152.58136809742606</x:v>
      </x:c>
      <x:c r="H89" s="17" t="n">
        <x:v>0.0050967521518403445</x:v>
      </x:c>
      <x:c r="I89" s="17" t="n">
        <x:v>0.006248584431205006</x:v>
      </x:c>
    </x:row>
    <x:row r="90">
      <x:c r="A90" s="16" t="n">
        <x:v>41090</x:v>
      </x:c>
      <x:c r="B90" s="17" t="n">
        <x:v>0.002691229198834577</x:v>
      </x:c>
      <x:c r="C90" s="17" t="n">
        <x:v>0.0021367712122211113</x:v>
      </x:c>
      <x:c r="D90" s="18" t="n">
        <x:v>1.026757748326097</x:v>
      </x:c>
      <x:c r="E90" s="18" t="n">
        <x:v>1.0415836343868623</x:v>
      </x:c>
      <x:c r="F90" s="18" t="n">
        <x:f>F89*(1+B90)</x:f>
        <x:v>142.22413774290206</x:v>
      </x:c>
      <x:c r="G90" s="18" t="n">
        <x:f>G89*(1+C90)</x:f>
        <x:v>152.90739957229795</x:v>
      </x:c>
      <x:c r="H90" s="17" t="n">
        <x:v>0.002691229198834577</x:v>
      </x:c>
      <x:c r="I90" s="17" t="n">
        <x:v>0.0021367712122211113</x:v>
      </x:c>
    </x:row>
    <x:row r="91">
      <x:c r="A91" s="16" t="n">
        <x:v>41121</x:v>
      </x:c>
      <x:c r="B91" s="17" t="n">
        <x:v>0.026061621466109353</x:v>
      </x:c>
      <x:c r="C91" s="17" t="n">
        <x:v>0.030008380846855642</x:v>
      </x:c>
      <x:c r="D91" s="18" t="n">
        <x:v>1.216569309564274</x:v>
      </x:c>
      <x:c r="E91" s="18" t="n">
        <x:v>1.1366440621151663</x:v>
      </x:c>
      <x:c r="F91" s="18" t="n">
        <x:f>F90*(1+B91)</x:f>
        <x:v>145.93072938410137</x:v>
      </x:c>
      <x:c r="G91" s="18" t="n">
        <x:f>G90*(1+C91)</x:f>
        <x:v>157.4959030529658</x:v>
      </x:c>
      <x:c r="H91" s="17" t="n">
        <x:v>0.026061621466109353</x:v>
      </x:c>
      <x:c r="I91" s="17" t="n">
        <x:v>0.030008380846855642</x:v>
      </x:c>
    </x:row>
    <x:row r="92">
      <x:c r="A92" s="16" t="n">
        <x:v>41152</x:v>
      </x:c>
      <x:c r="B92" s="17" t="n">
        <x:v>0.0062269481090369005</x:v>
      </x:c>
      <x:c r="C92" s="17" t="n">
        <x:v>0.005830461463677272</x:v>
      </x:c>
      <x:c r="D92" s="18" t="n">
        <x:v>1.2199075574201101</x:v>
      </x:c>
      <x:c r="E92" s="18" t="n">
        <x:v>1.1507421226827876</x:v>
      </x:c>
      <x:c r="F92" s="18" t="n">
        <x:f>F91*(1+B92)</x:f>
        <x:v>146.83943246349008</x:v>
      </x:c>
      <x:c r="G92" s="18" t="n">
        <x:f>G91*(1+C92)</x:f>
        <x:v>158.41417684640317</x:v>
      </x:c>
      <x:c r="H92" s="17" t="n">
        <x:v>0.0061269481090369</x:v>
      </x:c>
      <x:c r="I92" s="17" t="n">
        <x:v>0.005730461463677272</x:v>
      </x:c>
    </x:row>
    <x:row r="93">
      <x:c r="A93" s="16" t="n">
        <x:v>41182</x:v>
      </x:c>
      <x:c r="B93" s="17" t="n">
        <x:v>0.013031842015125195</x:v>
      </x:c>
      <x:c r="C93" s="17" t="n">
        <x:v>0.013572918280817747</x:v>
      </x:c>
      <x:c r="D93" s="18" t="n">
        <x:v>1.1929630121336894</x:v>
      </x:c>
      <x:c r="E93" s="18" t="n">
        <x:v>1.2439428532224805</x:v>
      </x:c>
      <x:c r="F93" s="18" t="n">
        <x:f>F92*(1+B93)</x:f>
        <x:v>148.75302074894492</x:v>
      </x:c>
      <x:c r="G93" s="18" t="n">
        <x:f>G92*(1+C93)</x:f>
        <x:v>160.5643195232624</x:v>
      </x:c>
      <x:c r="H93" s="17" t="n">
        <x:v>0.012931842015125195</x:v>
      </x:c>
      <x:c r="I93" s="17" t="n">
        <x:v>0.013472918280817748</x:v>
      </x:c>
    </x:row>
    <x:row r="94">
      <x:c r="A94" s="16" t="n">
        <x:v>41213</x:v>
      </x:c>
      <x:c r="B94" s="17" t="n">
        <x:v>0.014311725985861612</x:v>
      </x:c>
      <x:c r="C94" s="17" t="n">
        <x:v>0.01627048927230712</x:v>
      </x:c>
      <x:c r="D94" s="18" t="n">
        <x:v>0.9797224604354635</x:v>
      </x:c>
      <x:c r="E94" s="18" t="n">
        <x:v>0.7966904203594782</x:v>
      </x:c>
      <x:c r="F94" s="18" t="n">
        <x:f>F93*(1+B94)</x:f>
        <x:v>150.88193322147302</x:v>
      </x:c>
      <x:c r="G94" s="18" t="n">
        <x:f>G93*(1+C94)</x:f>
        <x:v>163.17677956158096</x:v>
      </x:c>
      <x:c r="H94" s="17" t="n">
        <x:v>0.014211725985861613</x:v>
      </x:c>
      <x:c r="I94" s="17" t="n">
        <x:v>0.01617048927230712</x:v>
      </x:c>
    </x:row>
    <x:row r="95">
      <x:c r="A95" s="16" t="n">
        <x:v>41243</x:v>
      </x:c>
      <x:c r="B95" s="17" t="n">
        <x:v>0.00022589822300989049</x:v>
      </x:c>
      <x:c r="C95" s="17" t="n">
        <x:v>0.002352362033120725</x:v>
      </x:c>
      <x:c r="D95" s="18" t="n">
        <x:v>1.0219233353604298</x:v>
      </x:c>
      <x:c r="E95" s="18" t="n">
        <x:v>0.8880539477524414</x:v>
      </x:c>
      <x:c r="F95" s="18" t="n">
        <x:f>F94*(1+B95)</x:f>
        <x:v>150.91601718207204</x:v>
      </x:c>
      <x:c r="G95" s="18" t="n">
        <x:f>G94*(1+C95)</x:f>
        <x:v>163.56063042250852</x:v>
      </x:c>
      <x:c r="H95" s="17" t="n">
        <x:v>0.0001258982230098905</x:v>
      </x:c>
      <x:c r="I95" s="17" t="n">
        <x:v>0.0022523620331207253</x:v>
      </x:c>
    </x:row>
    <x:row r="96">
      <x:c r="A96" s="16" t="n">
        <x:v>41274</x:v>
      </x:c>
      <x:c r="B96" s="17" t="n">
        <x:v>0.0023792782979725757</x:v>
      </x:c>
      <x:c r="C96" s="17" t="n">
        <x:v>0.005813850773779494</x:v>
      </x:c>
      <x:c r="D96" s="18" t="n">
        <x:v>1.0409561211566827</x:v>
      </x:c>
      <x:c r="E96" s="18" t="n">
        <x:v>0.853559956628521</x:v>
      </x:c>
      <x:c r="F96" s="18" t="n">
        <x:f>F95*(1+B96)</x:f>
        <x:v>151.2750883865698</x:v>
      </x:c>
      <x:c r="G96" s="18" t="n">
        <x:f>G95*(1+C96)</x:f>
        <x:v>164.51154752025028</x:v>
      </x:c>
      <x:c r="H96" s="17" t="n">
        <x:v>0.002279278297972576</x:v>
      </x:c>
      <x:c r="I96" s="17" t="n">
        <x:v>0.005713850773779494</x:v>
      </x:c>
    </x:row>
    <x:row r="97">
      <x:c r="A97" s="16" t="n">
        <x:v>41305</x:v>
      </x:c>
      <x:c r="B97" s="17" t="n">
        <x:v>-0.0015989745185331916</x:v>
      </x:c>
      <x:c r="C97" s="17" t="n">
        <x:v>0.0036043034177033473</x:v>
      </x:c>
      <x:c r="D97" s="18" t="n">
        <x:v>1.070618354388849</x:v>
      </x:c>
      <x:c r="E97" s="18" t="n">
        <x:v>0.8786223914477007</x:v>
      </x:c>
      <x:c r="F97" s="18" t="n">
        <x:f>F96*(1+B97)</x:f>
        <x:v>151.0332033749508</x:v>
      </x:c>
      <x:c r="G97" s="18" t="n">
        <x:f>G96*(1+C97)</x:f>
        <x:v>165.10449705322918</x:v>
      </x:c>
      <x:c r="H97" s="17" t="n">
        <x:v>-0.0015989745185331916</x:v>
      </x:c>
      <x:c r="I97" s="17" t="n">
        <x:v>0.0036043034177033473</x:v>
      </x:c>
    </x:row>
    <x:row r="98">
      <x:c r="A98" s="16" t="n">
        <x:v>41333</x:v>
      </x:c>
      <x:c r="B98" s="17" t="n">
        <x:v>0.007387254622562844</x:v>
      </x:c>
      <x:c r="C98" s="17" t="n">
        <x:v>0.0069676771771733925</x:v>
      </x:c>
      <x:c r="D98" s="18" t="n">
        <x:v>1.086536464849139</x:v>
      </x:c>
      <x:c r="E98" s="18" t="n">
        <x:v>0.8436131309992925</x:v>
      </x:c>
      <x:c r="F98" s="18" t="n">
        <x:f>F97*(1+B98)</x:f>
        <x:v>152.1489241047429</x:v>
      </x:c>
      <x:c r="G98" s="18" t="n">
        <x:f>G97*(1+C98)</x:f>
        <x:v>166.25489188919565</x:v>
      </x:c>
      <x:c r="H98" s="17" t="n">
        <x:v>0.007387254622562844</x:v>
      </x:c>
      <x:c r="I98" s="17" t="n">
        <x:v>0.0069676771771733925</x:v>
      </x:c>
    </x:row>
    <x:row r="99">
      <x:c r="A99" s="16" t="n">
        <x:v>41364</x:v>
      </x:c>
      <x:c r="B99" s="17" t="n">
        <x:v>0.0037093211643499657</x:v>
      </x:c>
      <x:c r="C99" s="17" t="n">
        <x:v>0.006313025122828497</x:v>
      </x:c>
      <x:c r="D99" s="18" t="n">
        <x:v>1.1083485441082255</x:v>
      </x:c>
      <x:c r="E99" s="18" t="n">
        <x:v>0.8710180173296036</x:v>
      </x:c>
      <x:c r="F99" s="18" t="n">
        <x:f>F98*(1+B99)</x:f>
        <x:v>152.71329332905768</x:v>
      </x:c>
      <x:c r="G99" s="18" t="n">
        <x:f>G98*(1+C99)</x:f>
        <x:v>167.30446319848528</x:v>
      </x:c>
      <x:c r="H99" s="17" t="n">
        <x:v>0.0037093211643499657</x:v>
      </x:c>
      <x:c r="I99" s="17" t="n">
        <x:v>0.006313025122828497</x:v>
      </x:c>
    </x:row>
    <x:row r="100">
      <x:c r="A100" s="16" t="n">
        <x:v>41394</x:v>
      </x:c>
      <x:c r="B100" s="17" t="n">
        <x:v>0.023059211046233985</x:v>
      </x:c>
      <x:c r="C100" s="17" t="n">
        <x:v>0.02225086478867766</x:v>
      </x:c>
      <x:c r="D100" s="18" t="n">
        <x:v>1.0714969066904776</x:v>
      </x:c>
      <x:c r="E100" s="18" t="n">
        <x:v>0.9139273658656635</x:v>
      </x:c>
      <x:c r="F100" s="18" t="n">
        <x:f>F99*(1+B100)</x:f>
        <x:v>156.23474138949786</x:v>
      </x:c>
      <x:c r="G100" s="18" t="n">
        <x:f>G99*(1+C100)</x:f>
        <x:v>171.02713218765706</x:v>
      </x:c>
      <x:c r="H100" s="17" t="n">
        <x:v>0.023059211046233985</x:v>
      </x:c>
      <x:c r="I100" s="17" t="n">
        <x:v>0.02225086478867766</x:v>
      </x:c>
    </x:row>
    <x:row r="101">
      <x:c r="A101" s="16" t="n">
        <x:v>41425</x:v>
      </x:c>
      <x:c r="B101" s="17" t="n">
        <x:v>-0.029019226639898088</x:v>
      </x:c>
      <x:c r="C101" s="17" t="n">
        <x:v>-0.029565880444735515</x:v>
      </x:c>
      <x:c r="D101" s="18" t="n">
        <x:v>1.0827805728013375</x:v>
      </x:c>
      <x:c r="E101" s="18" t="n">
        <x:v>0.9996344950724539</x:v>
      </x:c>
      <x:c r="F101" s="18" t="n">
        <x:f>F100*(1+B101)</x:f>
        <x:v>151.70093002009014</x:v>
      </x:c>
      <x:c r="G101" s="18" t="n">
        <x:f>G100*(1+C101)</x:f>
        <x:v>165.97056444459082</x:v>
      </x:c>
      <x:c r="H101" s="17" t="n">
        <x:v>-0.029019226639898088</x:v>
      </x:c>
      <x:c r="I101" s="17" t="n">
        <x:v>-0.029565880444735515</x:v>
      </x:c>
    </x:row>
    <x:row r="102">
      <x:c r="A102" s="16" t="n">
        <x:v>41455</x:v>
      </x:c>
      <x:c r="B102" s="17" t="n">
        <x:v>-0.03495688778536299</x:v>
      </x:c>
      <x:c r="C102" s="17" t="n">
        <x:v>-0.034900496459087216</x:v>
      </x:c>
      <x:c r="D102" s="18" t="n">
        <x:v>1.221525281093403</x:v>
      </x:c>
      <x:c r="E102" s="18" t="n">
        <x:v>0.9892878168734298</x:v>
      </x:c>
      <x:c r="F102" s="18" t="n">
        <x:f>F101*(1+B102)</x:f>
        <x:v>146.39793763244265</x:v>
      </x:c>
      <x:c r="G102" s="18" t="n">
        <x:f>G101*(1+C102)</x:f>
        <x:v>160.17810934787968</x:v>
      </x:c>
      <x:c r="H102" s="17" t="n">
        <x:v>-0.03495688778536299</x:v>
      </x:c>
      <x:c r="I102" s="17" t="n">
        <x:v>-0.034900496459087216</x:v>
      </x:c>
    </x:row>
    <x:row r="103">
      <x:c r="A103" s="16" t="n">
        <x:v>41486</x:v>
      </x:c>
      <x:c r="B103" s="17" t="n">
        <x:v>0.010785356414588998</x:v>
      </x:c>
      <x:c r="C103" s="17" t="n">
        <x:v>0.009038829602097564</x:v>
      </x:c>
      <x:c r="D103" s="18" t="n">
        <x:v>1.1627717892407867</x:v>
      </x:c>
      <x:c r="E103" s="18" t="n">
        <x:v>0.9447117792932032</x:v>
      </x:c>
      <x:c r="F103" s="18" t="n">
        <x:f>F102*(1+B103)</x:f>
        <x:v>147.97689156816932</x:v>
      </x:c>
      <x:c r="G103" s="18" t="n">
        <x:f>G102*(1+C103)</x:f>
        <x:v>161.6259319842613</x:v>
      </x:c>
      <x:c r="H103" s="17" t="n">
        <x:v>0.010785356414588998</x:v>
      </x:c>
      <x:c r="I103" s="17" t="n">
        <x:v>0.009038829602097564</x:v>
      </x:c>
    </x:row>
    <x:row r="104">
      <x:c r="A104" s="16" t="n">
        <x:v>41517</x:v>
      </x:c>
      <x:c r="B104" s="17" t="n">
        <x:v>-0.0072625585317674934</x:v>
      </x:c>
      <x:c r="C104" s="17" t="n">
        <x:v>-0.006357844353030662</x:v>
      </x:c>
      <x:c r="D104" s="18" t="n">
        <x:v>1.1971466439663248</x:v>
      </x:c>
      <x:c r="E104" s="18" t="n">
        <x:v>1.2774271346590287</x:v>
      </x:c>
      <x:c r="F104" s="18" t="n">
        <x:f>F103*(1+B104)</x:f>
        <x:v>146.9022007318065</x:v>
      </x:c>
      <x:c r="G104" s="18" t="n">
        <x:f>G103*(1+C104)</x:f>
        <x:v>160.59833946529187</x:v>
      </x:c>
      <x:c r="H104" s="17" t="n">
        <x:v>-0.0072625585317674934</x:v>
      </x:c>
      <x:c r="I104" s="17" t="n">
        <x:v>-0.006357844353030662</x:v>
      </x:c>
    </x:row>
    <x:row r="105">
      <x:c r="A105" s="16" t="n">
        <x:v>41547</x:v>
      </x:c>
      <x:c r="B105" s="17" t="n">
        <x:v>0.0046320826046994945</x:v>
      </x:c>
      <x:c r="C105" s="17" t="n">
        <x:v>0.004425698804185085</x:v>
      </x:c>
      <x:c r="D105" s="18" t="n">
        <x:v>0.9618506131688022</x:v>
      </x:c>
      <x:c r="E105" s="18" t="n">
        <x:v>1.037249518510895</x:v>
      </x:c>
      <x:c r="F105" s="18" t="n">
        <x:f>F104*(1+B105)</x:f>
        <x:v>147.58266386040836</x:v>
      </x:c>
      <x:c r="G105" s="18" t="n">
        <x:f>G104*(1+C105)</x:f>
        <x:v>161.30909934421751</x:v>
      </x:c>
      <x:c r="H105" s="17" t="n">
        <x:v>0.0046320826046994945</x:v>
      </x:c>
      <x:c r="I105" s="17" t="n">
        <x:v>0.004425698804185085</x:v>
      </x:c>
    </x:row>
    <x:row r="106">
      <x:c r="A106" s="16" t="n">
        <x:v>41578</x:v>
      </x:c>
      <x:c r="B106" s="17" t="n">
        <x:v>0.014339120593886756</x:v>
      </x:c>
      <x:c r="C106" s="17" t="n">
        <x:v>0.017722376386775762</x:v>
      </x:c>
      <x:c r="D106" s="18" t="n">
        <x:v>1.145288789387953</x:v>
      </x:c>
      <x:c r="E106" s="18" t="n">
        <x:v>0.9253054574055417</x:v>
      </x:c>
      <x:c r="F106" s="18" t="n">
        <x:f>F105*(1+B106)</x:f>
        <x:v>149.6988694750698</x:v>
      </x:c>
      <x:c r="G106" s="18" t="n">
        <x:f>G105*(1+C106)</x:f>
        <x:v>164.16787991740753</x:v>
      </x:c>
      <x:c r="H106" s="17" t="n">
        <x:v>0.014339120593886756</x:v>
      </x:c>
      <x:c r="I106" s="17" t="n">
        <x:v>0.017722376386775762</x:v>
      </x:c>
    </x:row>
    <x:row r="107">
      <x:c r="A107" s="16" t="n">
        <x:v>41608</x:v>
      </x:c>
      <x:c r="B107" s="17" t="n">
        <x:v>-0.00468003609123957</x:v>
      </x:c>
      <x:c r="C107" s="17" t="n">
        <x:v>-0.0032037208106988624</x:v>
      </x:c>
      <x:c r="D107" s="18" t="n">
        <x:v>1.2169763985359872</x:v>
      </x:c>
      <x:c r="E107" s="18" t="n">
        <x:v>0.9564572139876378</x:v>
      </x:c>
      <x:c r="F107" s="18" t="n">
        <x:f>F106*(1+B107)</x:f>
        <x:v>148.99827336310872</x:v>
      </x:c>
      <x:c r="G107" s="18" t="n">
        <x:f>G106*(1+C107)</x:f>
        <x:v>163.64193186406783</x:v>
      </x:c>
      <x:c r="H107" s="17" t="n">
        <x:v>-0.00468003609123957</x:v>
      </x:c>
      <x:c r="I107" s="17" t="n">
        <x:v>-0.0032037208106988624</x:v>
      </x:c>
    </x:row>
    <x:row r="108">
      <x:c r="A108" s="16" t="n">
        <x:v>41639</x:v>
      </x:c>
      <x:c r="B108" s="17" t="n">
        <x:v>-0.002697280073575836</x:v>
      </x:c>
      <x:c r="C108" s="17" t="n">
        <x:v>-0.0016446482171804666</x:v>
      </x:c>
      <x:c r="D108" s="18" t="n">
        <x:v>1.1019791432360937</x:v>
      </x:c>
      <x:c r="E108" s="18" t="n">
        <x:v>0.9300893073545656</x:v>
      </x:c>
      <x:c r="F108" s="18" t="n">
        <x:f>F107*(1+B108)</x:f>
        <x:v>148.59638328936921</x:v>
      </x:c>
      <x:c r="G108" s="18" t="n">
        <x:f>G107*(1+C108)</x:f>
        <x:v>163.37279845257163</x:v>
      </x:c>
      <x:c r="H108" s="17" t="n">
        <x:v>-0.002697280073575836</x:v>
      </x:c>
      <x:c r="I108" s="17" t="n">
        <x:v>-0.0016446482171804666</x:v>
      </x:c>
    </x:row>
    <x:row r="109">
      <x:c r="A109" s="16" t="n">
        <x:v>41670</x:v>
      </x:c>
      <x:c r="B109" s="17" t="n">
        <x:v>0.021746458185886386</x:v>
      </x:c>
      <x:c r="C109" s="17" t="n">
        <x:v>0.02382082375155048</x:v>
      </x:c>
      <x:c r="D109" s="18" t="n">
        <x:v>1.1273181647689237</x:v>
      </x:c>
      <x:c r="E109" s="18" t="n">
        <x:v>0.9160874043588877</x:v>
      </x:c>
      <x:c r="F109" s="18" t="n">
        <x:f>F108*(1+B109)</x:f>
        <x:v>151.82782832514542</x:v>
      </x:c>
      <x:c r="G109" s="18" t="n">
        <x:f>G108*(1+C109)</x:f>
        <x:v>167.26447309030792</x:v>
      </x:c>
      <x:c r="H109" s="17" t="n">
        <x:v>0.021746458185886386</x:v>
      </x:c>
      <x:c r="I109" s="17" t="n">
        <x:v>0.02382082375155048</x:v>
      </x:c>
    </x:row>
    <x:row r="110">
      <x:c r="A110" s="16" t="n">
        <x:v>41698</x:v>
      </x:c>
      <x:c r="B110" s="17" t="n">
        <x:v>0.014312421588966062</x:v>
      </x:c>
      <x:c r="C110" s="17" t="n">
        <x:v>0.015719582109218644</x:v>
      </x:c>
      <x:c r="D110" s="18" t="n">
        <x:v>1.1532612246476213</x:v>
      </x:c>
      <x:c r="E110" s="18" t="n">
        <x:v>0.9951438702237667</x:v>
      </x:c>
      <x:c r="F110" s="18" t="n">
        <x:f>F109*(1+B110)</x:f>
        <x:v>154.00085221307205</x:v>
      </x:c>
      <x:c r="G110" s="18" t="n">
        <x:f>G109*(1+C110)</x:f>
        <x:v>169.8938007090062</x:v>
      </x:c>
      <x:c r="H110" s="17" t="n">
        <x:v>0.014312421588966062</x:v>
      </x:c>
      <x:c r="I110" s="17" t="n">
        <x:v>0.015719582109218644</x:v>
      </x:c>
    </x:row>
    <x:row r="111">
      <x:c r="A111" s="16" t="n">
        <x:v>41729</x:v>
      </x:c>
      <x:c r="B111" s="17" t="n">
        <x:v>0.0016840669300310918</x:v>
      </x:c>
      <x:c r="C111" s="17" t="n">
        <x:v>0.0028521234587948197</x:v>
      </x:c>
      <x:c r="D111" s="18" t="n">
        <x:v>1.1367259599496506</x:v>
      </x:c>
      <x:c r="E111" s="18" t="n">
        <x:v>1.0029493694045866</x:v>
      </x:c>
      <x:c r="F111" s="18" t="n">
        <x:f>F110*(1+B111)</x:f>
        <x:v>154.2601999554807</x:v>
      </x:c>
      <x:c r="G111" s="18" t="n">
        <x:f>G110*(1+C111)</x:f>
        <x:v>170.37835880351216</x:v>
      </x:c>
      <x:c r="H111" s="17" t="n">
        <x:v>0.0016840669300310918</x:v>
      </x:c>
      <x:c r="I111" s="17" t="n">
        <x:v>0.0028521234587948197</x:v>
      </x:c>
    </x:row>
    <x:row r="112">
      <x:c r="A112" s="16" t="n">
        <x:v>41759</x:v>
      </x:c>
      <x:c r="B112" s="17" t="n">
        <x:v>0.013811278834449991</x:v>
      </x:c>
      <x:c r="C112" s="17" t="n">
        <x:v>0.01480295574709678</x:v>
      </x:c>
      <x:c r="D112" s="18" t="n">
        <x:v>1.1796058141480072</x:v>
      </x:c>
      <x:c r="E112" s="18" t="n">
        <x:v>1.022265118077202</x:v>
      </x:c>
      <x:c r="F112" s="18" t="n">
        <x:f>F111*(1+B112)</x:f>
        <x:v>156.39073059012384</x:v>
      </x:c>
      <x:c r="G112" s="18" t="n">
        <x:f>G111*(1+C112)</x:f>
        <x:v>172.90046210914352</x:v>
      </x:c>
      <x:c r="H112" s="17" t="n">
        <x:v>0.013811278834449991</x:v>
      </x:c>
      <x:c r="I112" s="17" t="n">
        <x:v>0.01480295574709678</x:v>
      </x:c>
    </x:row>
    <x:row r="113">
      <x:c r="A113" s="16" t="n">
        <x:v>41790</x:v>
      </x:c>
      <x:c r="B113" s="17" t="n">
        <x:v>0.017074059921450724</x:v>
      </x:c>
      <x:c r="C113" s="17" t="n">
        <x:v>0.01688686466053979</x:v>
      </x:c>
      <x:c r="D113" s="18" t="n">
        <x:v>0.9644324212491862</x:v>
      </x:c>
      <x:c r="E113" s="18" t="n">
        <x:v>0.8012661497180215</x:v>
      </x:c>
      <x:c r="F113" s="18" t="n">
        <x:f>F112*(1+B113)</x:f>
        <x:v>159.06095529537907</x:v>
      </x:c>
      <x:c r="G113" s="18" t="n">
        <x:f>G112*(1+C113)</x:f>
        <x:v>175.8202088125254</x:v>
      </x:c>
      <x:c r="H113" s="17" t="n">
        <x:v>0.017074059921450724</x:v>
      </x:c>
      <x:c r="I113" s="17" t="n">
        <x:v>0.01688686466053979</x:v>
      </x:c>
    </x:row>
    <x:row r="114">
      <x:c r="A114" s="16" t="n">
        <x:v>41820</x:v>
      </x:c>
      <x:c r="B114" s="17" t="n">
        <x:v>0.00260885929752952</x:v>
      </x:c>
      <x:c r="C114" s="17" t="n">
        <x:v>0.0026344016551436145</x:v>
      </x:c>
      <x:c r="D114" s="18" t="n">
        <x:v>1.1767498286400895</x:v>
      </x:c>
      <x:c r="E114" s="18" t="n">
        <x:v>1.0919717427718134</x:v>
      </x:c>
      <x:c r="F114" s="18" t="n">
        <x:f>F113*(1+B114)</x:f>
        <x:v>159.47592294747534</x:v>
      </x:c>
      <x:c r="G114" s="18" t="n">
        <x:f>G113*(1+C114)</x:f>
        <x:v>176.28338986162882</x:v>
      </x:c>
      <x:c r="H114" s="17" t="n">
        <x:v>0.00260885929752952</x:v>
      </x:c>
      <x:c r="I114" s="17" t="n">
        <x:v>0.0026344016551436145</x:v>
      </x:c>
    </x:row>
    <x:row r="115">
      <x:c r="A115" s="16" t="n">
        <x:v>41851</x:v>
      </x:c>
      <x:c r="B115" s="17" t="n">
        <x:v>-0.007662278392751798</x:v>
      </x:c>
      <x:c r="C115" s="17" t="n">
        <x:v>-0.007388141376720392</x:v>
      </x:c>
      <x:c r="D115" s="18" t="n">
        <x:v>1.1072234429411996</x:v>
      </x:c>
      <x:c r="E115" s="18" t="n">
        <x:v>0.9647208262292302</x:v>
      </x:c>
      <x:c r="F115" s="18" t="n">
        <x:f>F114*(1+B115)</x:f>
        <x:v>158.25397402891076</x:v>
      </x:c>
      <x:c r="G115" s="18" t="n">
        <x:f>G114*(1+C115)</x:f>
        <x:v>174.98098325496358</x:v>
      </x:c>
      <x:c r="H115" s="17" t="n">
        <x:v>-0.007662278392751798</x:v>
      </x:c>
      <x:c r="I115" s="17" t="n">
        <x:v>-0.007388141376720392</x:v>
      </x:c>
    </x:row>
    <x:row r="116">
      <x:c r="A116" s="16" t="n">
        <x:v>41882</x:v>
      </x:c>
      <x:c r="B116" s="17" t="n">
        <x:v>0.016933762543130504</x:v>
      </x:c>
      <x:c r="C116" s="17" t="n">
        <x:v>0.01859108137260379</x:v>
      </x:c>
      <x:c r="D116" s="18" t="n">
        <x:v>1.1583861967020503</x:v>
      </x:c>
      <x:c r="E116" s="18" t="n">
        <x:v>0.9171294061034609</x:v>
      </x:c>
      <x:c r="F116" s="18" t="n">
        <x:f>F115*(1+B116)</x:f>
        <x:v>160.93380924662307</x:v>
      </x:c>
      <x:c r="G116" s="18" t="n">
        <x:f>G115*(1+C116)</x:f>
        <x:v>178.23406895331482</x:v>
      </x:c>
      <x:c r="H116" s="17" t="n">
        <x:v>0.016933762543130504</x:v>
      </x:c>
      <x:c r="I116" s="17" t="n">
        <x:v>0.01859108137260379</x:v>
      </x:c>
    </x:row>
    <x:row r="117">
      <x:c r="A117" s="16" t="n">
        <x:v>41912</x:v>
      </x:c>
      <x:c r="B117" s="17" t="n">
        <x:v>-0.01994111891825978</x:v>
      </x:c>
      <x:c r="C117" s="17" t="n">
        <x:v>-0.022672453231077583</x:v>
      </x:c>
      <x:c r="D117" s="18" t="n">
        <x:v>1.088162019269615</x:v>
      </x:c>
      <x:c r="E117" s="18" t="n">
        <x:v>0.874627049774303</x:v>
      </x:c>
      <x:c r="F117" s="18" t="n">
        <x:f>F116*(1+B117)</x:f>
        <x:v>157.72460901846762</x:v>
      </x:c>
      <x:c r="G117" s="18" t="n">
        <x:f>G116*(1+C117)</x:f>
        <x:v>174.19306536078614</x:v>
      </x:c>
      <x:c r="H117" s="17" t="n">
        <x:v>-0.01994111891825978</x:v>
      </x:c>
      <x:c r="I117" s="17" t="n">
        <x:v>-0.022672453231077583</x:v>
      </x:c>
    </x:row>
    <x:row r="118">
      <x:c r="A118" s="16" t="n">
        <x:v>41943</x:v>
      </x:c>
      <x:c r="B118" s="17" t="n">
        <x:v>0.013495358170986682</x:v>
      </x:c>
      <x:c r="C118" s="17" t="n">
        <x:v>0.012911830412879244</x:v>
      </x:c>
      <x:c r="D118" s="18" t="n">
        <x:v>0.9979426528214106</x:v>
      </x:c>
      <x:c r="E118" s="18" t="n">
        <x:v>0.8278033160591897</x:v>
      </x:c>
      <x:c r="F118" s="18" t="n">
        <x:f>F117*(1+B118)</x:f>
        <x:v>159.8531591095507</x:v>
      </x:c>
      <x:c r="G118" s="18" t="n">
        <x:f>G117*(1+C118)</x:f>
        <x:v>176.44221667982418</x:v>
      </x:c>
      <x:c r="H118" s="17" t="n">
        <x:v>0.013495358170986682</x:v>
      </x:c>
      <x:c r="I118" s="17" t="n">
        <x:v>0.012911830412879244</x:v>
      </x:c>
    </x:row>
    <x:row r="119">
      <x:c r="A119" s="16" t="n">
        <x:v>41973</x:v>
      </x:c>
      <x:c r="B119" s="17" t="n">
        <x:v>0.00447025541113133</x:v>
      </x:c>
      <x:c r="C119" s="17" t="n">
        <x:v>0.004270509637640085</x:v>
      </x:c>
      <x:c r="D119" s="18" t="n">
        <x:v>1.1522467937161402</x:v>
      </x:c>
      <x:c r="E119" s="18" t="n">
        <x:v>1.066077810416211</x:v>
      </x:c>
      <x:c r="F119" s="18" t="n">
        <x:f>F118*(1+B119)</x:f>
        <x:v>160.5677435590466</x:v>
      </x:c>
      <x:c r="G119" s="18" t="n">
        <x:f>G118*(1+C119)</x:f>
        <x:v>177.19571486664196</x:v>
      </x:c>
      <x:c r="H119" s="17" t="n">
        <x:v>0.00447025541113133</x:v>
      </x:c>
      <x:c r="I119" s="17" t="n">
        <x:v>0.004270509637640085</x:v>
      </x:c>
    </x:row>
    <x:row r="120">
      <x:c r="A120" s="16" t="n">
        <x:v>42004</x:v>
      </x:c>
      <x:c r="B120" s="17" t="n">
        <x:v>0.000857438926427756</x:v>
      </x:c>
      <x:c r="C120" s="17" t="n">
        <x:v>-0.00026189141122878734</x:v>
      </x:c>
      <x:c r="D120" s="18" t="n">
        <x:v>0.9136894607156465</x:v>
      </x:c>
      <x:c r="E120" s="18" t="n">
        <x:v>0.9728087529764522</x:v>
      </x:c>
      <x:c r="F120" s="18" t="n">
        <x:f>F119*(1+B120)</x:f>
        <x:v>160.70542059270278</x:v>
      </x:c>
      <x:c r="G120" s="18" t="n">
        <x:f>G119*(1+C120)</x:f>
        <x:v>177.14930883081183</x:v>
      </x:c>
      <x:c r="H120" s="17" t="n">
        <x:v>0.000857438926427756</x:v>
      </x:c>
      <x:c r="I120" s="17" t="n">
        <x:v>-0.00026189141122878734</x:v>
      </x:c>
    </x:row>
    <x:row r="121">
      <x:c r="A121" s="16" t="n">
        <x:v>42035</x:v>
      </x:c>
      <x:c r="B121" s="17" t="n">
        <x:v>0.03306432956332439</x:v>
      </x:c>
      <x:c r="C121" s="17" t="n">
        <x:v>0.03389791511321172</x:v>
      </x:c>
      <x:c r="D121" s="18" t="n">
        <x:v>1.0047603015737538</x:v>
      </x:c>
      <x:c r="E121" s="18" t="n">
        <x:v>1.103587281405511</x:v>
      </x:c>
      <x:c r="F121" s="18" t="n">
        <x:f>F120*(1+B121)</x:f>
        <x:v>166.01903758179256</x:v>
      </x:c>
      <x:c r="G121" s="18" t="n">
        <x:f>G120*(1+C121)</x:f>
        <x:v>183.15430106392282</x:v>
      </x:c>
      <x:c r="H121" s="17" t="n">
        <x:v>0.03306432956332439</x:v>
      </x:c>
      <x:c r="I121" s="17" t="n">
        <x:v>0.03389791511321172</x:v>
      </x:c>
    </x:row>
    <x:row r="122">
      <x:c r="A122" s="16" t="n">
        <x:v>42063</x:v>
      </x:c>
      <x:c r="B122" s="17" t="n">
        <x:v>-0.005123334732020979</x:v>
      </x:c>
      <x:c r="C122" s="17" t="n">
        <x:v>-0.0032080764369595283</x:v>
      </x:c>
      <x:c r="D122" s="18" t="n">
        <x:v>0.998868184933551</x:v>
      </x:c>
      <x:c r="E122" s="18" t="n">
        <x:v>0.8961333361442936</x:v>
      </x:c>
      <x:c r="F122" s="18" t="n">
        <x:f>F121*(1+B122)</x:f>
        <x:v>165.16846648037307</x:v>
      </x:c>
      <x:c r="G122" s="18" t="n">
        <x:f>G121*(1+C122)</x:f>
        <x:v>182.56672806635186</x:v>
      </x:c>
      <x:c r="H122" s="17" t="n">
        <x:v>-0.005123334732020979</x:v>
      </x:c>
      <x:c r="I122" s="17" t="n">
        <x:v>-0.0032080764369595283</x:v>
      </x:c>
    </x:row>
    <x:row r="123">
      <x:c r="A123" s="16" t="n">
        <x:v>42094</x:v>
      </x:c>
      <x:c r="B123" s="17" t="n">
        <x:v>-0.001474394143026636</x:v>
      </x:c>
      <x:c r="C123" s="17" t="n">
        <x:v>-0.005497822755893611</x:v>
      </x:c>
      <x:c r="D123" s="18" t="n">
        <x:v>1.1987017752292055</x:v>
      </x:c>
      <x:c r="E123" s="18" t="n">
        <x:v>1.1491840271941478</x:v>
      </x:c>
      <x:c r="F123" s="18" t="n">
        <x:f>F122*(1+B123)</x:f>
        <x:v>164.92494306078171</x:v>
      </x:c>
      <x:c r="G123" s="18" t="n">
        <x:f>G122*(1+C123)</x:f>
        <x:v>181.56300855431962</x:v>
      </x:c>
      <x:c r="H123" s="17" t="n">
        <x:v>-0.001474394143026636</x:v>
      </x:c>
      <x:c r="I123" s="17" t="n">
        <x:v>-0.005497822755893611</x:v>
      </x:c>
    </x:row>
    <x:row r="124">
      <x:c r="A124" s="16" t="n">
        <x:v>42124</x:v>
      </x:c>
      <x:c r="B124" s="17" t="n">
        <x:v>-0.0064141776190959066</x:v>
      </x:c>
      <x:c r="C124" s="17" t="n">
        <x:v>-0.004734461906651388</x:v>
      </x:c>
      <x:c r="D124" s="18" t="n">
        <x:v>1.1126324007049755</x:v>
      </x:c>
      <x:c r="E124" s="18" t="n">
        <x:v>0.9581521554573043</x:v>
      </x:c>
      <x:c r="F124" s="18" t="n">
        <x:f>F123*(1+B124)</x:f>
        <x:v>163.86708518217057</x:v>
      </x:c>
      <x:c r="G124" s="18" t="n">
        <x:f>G123*(1+C124)</x:f>
        <x:v>180.70340540666217</x:v>
      </x:c>
      <x:c r="H124" s="17" t="n">
        <x:v>-0.0064141776190959066</x:v>
      </x:c>
      <x:c r="I124" s="17" t="n">
        <x:v>-0.004734461906651388</x:v>
      </x:c>
    </x:row>
    <x:row r="125">
      <x:c r="A125" s="16" t="n">
        <x:v>42155</x:v>
      </x:c>
      <x:c r="B125" s="17" t="n">
        <x:v>-0.00868427104937608</x:v>
      </x:c>
      <x:c r="C125" s="17" t="n">
        <x:v>-0.007523077080736629</x:v>
      </x:c>
      <x:c r="D125" s="18" t="n">
        <x:v>1.3171424707804897</x:v>
      </x:c>
      <x:c r="E125" s="18" t="n">
        <x:v>1.1582289754317618</x:v>
      </x:c>
      <x:c r="F125" s="18" t="n">
        <x:f>F124*(1+B125)</x:f>
        <x:v>162.4440189983774</x:v>
      </x:c>
      <x:c r="G125" s="18" t="n">
        <x:f>G124*(1+C125)</x:f>
        <x:v>179.34395975903624</x:v>
      </x:c>
      <x:c r="H125" s="17" t="n">
        <x:v>-0.00868427104937608</x:v>
      </x:c>
      <x:c r="I125" s="17" t="n">
        <x:v>-0.007523077080736629</x:v>
      </x:c>
    </x:row>
    <x:row r="126">
      <x:c r="A126" s="16" t="n">
        <x:v>42185</x:v>
      </x:c>
      <x:c r="B126" s="17" t="n">
        <x:v>-0.023943859004106005</x:v>
      </x:c>
      <x:c r="C126" s="17" t="n">
        <x:v>-0.024149081371584225</x:v>
      </x:c>
      <x:c r="D126" s="18" t="n">
        <x:v>1.132182343790733</x:v>
      </x:c>
      <x:c r="E126" s="18" t="n">
        <x:v>0.9921894927694995</x:v>
      </x:c>
      <x:c r="F126" s="18" t="n">
        <x:f>F125*(1+B126)</x:f>
        <x:v>158.55448231141995</x:v>
      </x:c>
      <x:c r="G126" s="18" t="n">
        <x:f>G125*(1+C126)</x:f>
        <x:v>175.01296788131316</x:v>
      </x:c>
      <x:c r="H126" s="17" t="n">
        <x:v>-0.023943859004106005</x:v>
      </x:c>
      <x:c r="I126" s="17" t="n">
        <x:v>-0.024149081371584225</x:v>
      </x:c>
    </x:row>
    <x:row r="127">
      <x:c r="A127" s="16" t="n">
        <x:v>42216</x:v>
      </x:c>
      <x:c r="B127" s="17" t="n">
        <x:v>0.006884498624219804</x:v>
      </x:c>
      <x:c r="C127" s="17" t="n">
        <x:v>0.0041346992952244754</x:v>
      </x:c>
      <x:c r="D127" s="18" t="n">
        <x:v>0.8665614188386797</x:v>
      </x:c>
      <x:c r="E127" s="18" t="n">
        <x:v>0.7362695007476016</x:v>
      </x:c>
      <x:c r="F127" s="18" t="n">
        <x:f>F126*(1+B127)</x:f>
        <x:v>159.6460504267568</x:v>
      </x:c>
      <x:c r="G127" s="18" t="n">
        <x:f>G126*(1+C127)</x:f>
        <x:v>175.73659387626716</x:v>
      </x:c>
      <x:c r="H127" s="17" t="n">
        <x:v>0.006884498624219804</x:v>
      </x:c>
      <x:c r="I127" s="17" t="n">
        <x:v>0.0041346992952244754</x:v>
      </x:c>
    </x:row>
    <x:row r="128">
      <x:c r="A128" s="16" t="n">
        <x:v>42247</x:v>
      </x:c>
      <x:c r="B128" s="17" t="n">
        <x:v>-0.011092912088727758</x:v>
      </x:c>
      <x:c r="C128" s="17" t="n">
        <x:v>-0.010730356662864926</x:v>
      </x:c>
      <x:c r="D128" s="18" t="n">
        <x:v>1.0005442353621008</x:v>
      </x:c>
      <x:c r="E128" s="18" t="n">
        <x:v>0.960737229073023</x:v>
      </x:c>
      <x:c r="F128" s="18" t="n">
        <x:f>F127*(1+B128)</x:f>
        <x:v>157.8751108240602</x:v>
      </x:c>
      <x:c r="G128" s="18" t="n">
        <x:f>G127*(1+C128)</x:f>
        <x:v>173.8508775452578</x:v>
      </x:c>
      <x:c r="H128" s="17" t="n">
        <x:v>-0.011092912088727758</x:v>
      </x:c>
      <x:c r="I128" s="17" t="n">
        <x:v>-0.010730356662864926</x:v>
      </x:c>
    </x:row>
    <x:row r="129">
      <x:c r="A129" s="16" t="n">
        <x:v>42277</x:v>
      </x:c>
      <x:c r="B129" s="17" t="n">
        <x:v>-0.0009519755993425694</x:v>
      </x:c>
      <x:c r="C129" s="17" t="n">
        <x:v>-0.0018072266916925317</x:v>
      </x:c>
      <x:c r="D129" s="18" t="n">
        <x:v>0.9992128517491281</x:v>
      </x:c>
      <x:c r="E129" s="18" t="n">
        <x:v>1.1124640083416786</x:v>
      </x:c>
      <x:c r="F129" s="18" t="n">
        <x:f>F128*(1+B129)</x:f>
        <x:v>157.72481757081218</x:v>
      </x:c>
      <x:c r="G129" s="18" t="n">
        <x:f>G128*(1+C129)</x:f>
        <x:v>173.53668959898383</x:v>
      </x:c>
      <x:c r="H129" s="17" t="n">
        <x:v>-0.0009519755993425694</x:v>
      </x:c>
      <x:c r="I129" s="17" t="n">
        <x:v>-0.0018072266916925317</x:v>
      </x:c>
    </x:row>
    <x:row r="130">
      <x:c r="A130" s="16" t="n">
        <x:v>42308</x:v>
      </x:c>
      <x:c r="B130" s="17" t="n">
        <x:v>0.008400568478382109</x:v>
      </x:c>
      <x:c r="C130" s="17" t="n">
        <x:v>0.006244231847853943</x:v>
      </x:c>
      <x:c r="D130" s="18" t="n">
        <x:v>0.9470073918543179</x:v>
      </x:c>
      <x:c r="E130" s="18" t="n">
        <x:v>0.9017056439825784</x:v>
      </x:c>
      <x:c r="F130" s="18" t="n">
        <x:f>F129*(1+B130)</x:f>
        <x:v>159.04979570155612</x:v>
      </x:c>
      <x:c r="G130" s="18" t="n">
        <x:f>G129*(1+C130)</x:f>
        <x:v>174.62029292294895</x:v>
      </x:c>
      <x:c r="H130" s="17" t="n">
        <x:v>0.008400568478382109</x:v>
      </x:c>
      <x:c r="I130" s="17" t="n">
        <x:v>0.006244231847853943</x:v>
      </x:c>
    </x:row>
    <x:row r="131">
      <x:c r="A131" s="16" t="n">
        <x:v>42338</x:v>
      </x:c>
      <x:c r="B131" s="17" t="n">
        <x:v>-0.012417766400259933</x:v>
      </x:c>
      <x:c r="C131" s="17" t="n">
        <x:v>-0.0194366681906466</x:v>
      </x:c>
      <x:c r="D131" s="18" t="n">
        <x:v>1.2951840634827996</x:v>
      </x:c>
      <x:c r="E131" s="18" t="n">
        <x:v>1.3546631698051037</x:v>
      </x:c>
      <x:c r="F131" s="18" t="n">
        <x:f>F130*(1+B131)</x:f>
        <x:v>157.07475249252514</x:v>
      </x:c>
      <x:c r="G131" s="18" t="n">
        <x:f>G130*(1+C131)</x:f>
        <x:v>171.2262562300521</x:v>
      </x:c>
      <x:c r="H131" s="17" t="n">
        <x:v>-0.012417766400259933</x:v>
      </x:c>
      <x:c r="I131" s="17" t="n">
        <x:v>-0.0194366681906466</x:v>
      </x:c>
    </x:row>
    <x:row r="132">
      <x:c r="A132" s="16" t="n">
        <x:v>42369</x:v>
      </x:c>
      <x:c r="B132" s="17" t="n">
        <x:v>-0.01863019895363993</x:v>
      </x:c>
      <x:c r="C132" s="17" t="n">
        <x:v>-0.02423081681779038</x:v>
      </x:c>
      <x:c r="D132" s="18" t="n">
        <x:v>1.0277377375013965</x:v>
      </x:c>
      <x:c r="E132" s="18" t="n">
        <x:v>0.8723017160892481</x:v>
      </x:c>
      <x:c r="F132" s="18" t="n">
        <x:f>F131*(1+B132)</x:f>
        <x:v>154.14841860299563</x:v>
      </x:c>
      <x:c r="G132" s="18" t="n">
        <x:f>G131*(1+C132)</x:f>
        <x:v>167.07730418094565</x:v>
      </x:c>
      <x:c r="H132" s="17" t="n">
        <x:v>-0.01873019895363993</x:v>
      </x:c>
      <x:c r="I132" s="17" t="n">
        <x:v>-0.02433081681779038</x:v>
      </x:c>
    </x:row>
    <x:row r="133">
      <x:c r="A133" s="16" t="n">
        <x:v>42400</x:v>
      </x:c>
      <x:c r="B133" s="17" t="n">
        <x:v>2.1822736639975915e-7</x:v>
      </x:c>
      <x:c r="C133" s="17" t="n">
        <x:v>0.00003653649876644849</x:v>
      </x:c>
      <x:c r="D133" s="18" t="n">
        <x:v>1.1596814129249389</x:v>
      </x:c>
      <x:c r="E133" s="18" t="n">
        <x:v>1.0207542218831136</x:v>
      </x:c>
      <x:c r="F133" s="18" t="n">
        <x:f>F132*(1+B133)</x:f>
        <x:v>154.14845224239906</x:v>
      </x:c>
      <x:c r="G133" s="18" t="n">
        <x:f>G132*(1+C133)</x:f>
        <x:v>167.08340860066374</x:v>
      </x:c>
      <x:c r="H133" s="17" t="n">
        <x:v>-0.00009978177263360025</x:v>
      </x:c>
      <x:c r="I133" s="17" t="n">
        <x:v>-0.00006346350123355152</x:v>
      </x:c>
    </x:row>
    <x:row r="134">
      <x:c r="A134" s="16" t="n">
        <x:v>42429</x:v>
      </x:c>
      <x:c r="B134" s="17" t="n">
        <x:v>0.005430171836600106</x:v>
      </x:c>
      <x:c r="C134" s="17" t="n">
        <x:v>-0.0013945893401090537</x:v>
      </x:c>
      <x:c r="D134" s="18" t="n">
        <x:v>0.8805027940374911</x:v>
      </x:c>
      <x:c r="E134" s="18" t="n">
        <x:v>0.878357773064029</x:v>
      </x:c>
      <x:c r="F134" s="18" t="n">
        <x:f>F133*(1+B134)</x:f>
        <x:v>154.98550482642122</x:v>
      </x:c>
      <x:c r="G134" s="18" t="n">
        <x:f>G133*(1+C134)</x:f>
        <x:v>166.8503958601202</x:v>
      </x:c>
      <x:c r="H134" s="17" t="n">
        <x:v>0.0052301718366001065</x:v>
      </x:c>
      <x:c r="I134" s="17" t="n">
        <x:v>-0.0015945893401090538</x:v>
      </x:c>
    </x:row>
    <x:row r="135">
      <x:c r="A135" s="16" t="n">
        <x:v>42460</x:v>
      </x:c>
      <x:c r="B135" s="17" t="n">
        <x:v>0.06076210055800679</x:v>
      </x:c>
      <x:c r="C135" s="17" t="n">
        <x:v>0.06105209975440351</x:v>
      </x:c>
      <x:c r="D135" s="18" t="n">
        <x:v>0.9565334019794021</x:v>
      </x:c>
      <x:c r="E135" s="18" t="n">
        <x:v>1.0301047816977977</x:v>
      </x:c>
      <x:c r="F135" s="18" t="n">
        <x:f>F134*(1+B135)</x:f>
        <x:v>164.40274965571768</x:v>
      </x:c>
      <x:c r="G135" s="18" t="n">
        <x:f>G134*(1+C135)</x:f>
        <x:v>177.03696287223397</x:v>
      </x:c>
      <x:c r="H135" s="17" t="n">
        <x:v>0.060562100558006794</x:v>
      </x:c>
      <x:c r="I135" s="17" t="n">
        <x:v>0.06085209975440351</x:v>
      </x:c>
    </x:row>
    <x:row r="136">
      <x:c r="A136" s="16" t="n">
        <x:v>42490</x:v>
      </x:c>
      <x:c r="B136" s="17" t="n">
        <x:v>0.0331402674362935</x:v>
      </x:c>
      <x:c r="C136" s="17" t="n">
        <x:v>0.05752621084655862</x:v>
      </x:c>
      <x:c r="D136" s="18" t="n">
        <x:v>1.1417168973831915</x:v>
      </x:c>
      <x:c r="E136" s="18" t="n">
        <x:v>0.9693520929883601</x:v>
      </x:c>
      <x:c r="F136" s="18" t="n">
        <x:f>F135*(1+B136)</x:f>
        <x:v>169.85110074657018</x:v>
      </x:c>
      <x:c r="G136" s="18" t="n">
        <x:f>G135*(1+C136)</x:f>
        <x:v>187.22122852605648</x:v>
      </x:c>
      <x:c r="H136" s="17" t="n">
        <x:v>0.0330402674362935</x:v>
      </x:c>
      <x:c r="I136" s="17" t="n">
        <x:v>0.05742621084655862</x:v>
      </x:c>
    </x:row>
    <x:row r="137">
      <x:c r="A137" s="16" t="n">
        <x:v>42521</x:v>
      </x:c>
      <x:c r="B137" s="17" t="n">
        <x:v>0.002191230768063157</x:v>
      </x:c>
      <x:c r="C137" s="17" t="n">
        <x:v>0.00944025625849032</x:v>
      </x:c>
      <x:c r="D137" s="18" t="n">
        <x:v>1.081563223349077</x:v>
      </x:c>
      <x:c r="E137" s="18" t="n">
        <x:v>0.7534697036644018</x:v>
      </x:c>
      <x:c r="F137" s="18" t="n">
        <x:f>F136*(1+B137)</x:f>
        <x:v>170.22328370451547</x:v>
      </x:c>
      <x:c r="G137" s="18" t="n">
        <x:f>G136*(1+C137)</x:f>
        <x:v>188.98864490037184</x:v>
      </x:c>
      <x:c r="H137" s="17" t="n">
        <x:v>0.0020912307680631573</x:v>
      </x:c>
      <x:c r="I137" s="17" t="n">
        <x:v>0.009340256258490321</x:v>
      </x:c>
    </x:row>
    <x:row r="138">
      <x:c r="A138" s="16" t="n">
        <x:v>42551</x:v>
      </x:c>
      <x:c r="B138" s="17" t="n">
        <x:v>0.023717809262059797</x:v>
      </x:c>
      <x:c r="C138" s="17" t="n">
        <x:v>0.020117682693057803</x:v>
      </x:c>
      <x:c r="D138" s="18" t="n">
        <x:v>0.9600679715369018</x:v>
      </x:c>
      <x:c r="E138" s="18" t="n">
        <x:v>0.7348978535540118</x:v>
      </x:c>
      <x:c r="F138" s="18" t="n">
        <x:f>F137*(1+B138)</x:f>
        <x:v>174.26060707938066</x:v>
      </x:c>
      <x:c r="G138" s="18" t="n">
        <x:f>G137*(1+C138)</x:f>
        <x:v>192.79065849106848</x:v>
      </x:c>
      <x:c r="H138" s="17" t="n">
        <x:v>0.023517809262059798</x:v>
      </x:c>
      <x:c r="I138" s="17" t="n">
        <x:v>0.019917682693057805</x:v>
      </x:c>
    </x:row>
    <x:row r="139">
      <x:c r="A139" s="16" t="n">
        <x:v>42582</x:v>
      </x:c>
      <x:c r="B139" s="17" t="n">
        <x:v>0.024319670311427677</x:v>
      </x:c>
      <x:c r="C139" s="17" t="n">
        <x:v>0.019320800624705425</x:v>
      </x:c>
      <x:c r="D139" s="18" t="n">
        <x:v>1.0387634315219993</x:v>
      </x:c>
      <x:c r="E139" s="18" t="n">
        <x:v>0.8041061552676427</x:v>
      </x:c>
      <x:c r="F139" s="18" t="n">
        <x:f>F138*(1+B139)</x:f>
        <x:v>178.49856759182043</x:v>
      </x:c>
      <x:c r="G139" s="18" t="n">
        <x:f>G138*(1+C139)</x:f>
        <x:v>196.5155283660801</x:v>
      </x:c>
      <x:c r="H139" s="17" t="n">
        <x:v>0.024119670311427678</x:v>
      </x:c>
      <x:c r="I139" s="17" t="n">
        <x:v>0.019120800624705427</x:v>
      </x:c>
    </x:row>
    <x:row r="140">
      <x:c r="A140" s="16" t="n">
        <x:v>42613</x:v>
      </x:c>
      <x:c r="B140" s="17" t="n">
        <x:v>0.012454118201370434</x:v>
      </x:c>
      <x:c r="C140" s="17" t="n">
        <x:v>0.013712010533900143</x:v>
      </x:c>
      <x:c r="D140" s="18" t="n">
        <x:v>1.0342797268645108</x:v>
      </x:c>
      <x:c r="E140" s="18" t="n">
        <x:v>0.9061328541946281</x:v>
      </x:c>
      <x:c r="F140" s="18" t="n">
        <x:f>F139*(1+B140)</x:f>
        <x:v>180.72160985138427</x:v>
      </x:c>
      <x:c r="G140" s="18" t="n">
        <x:f>G139*(1+C140)</x:f>
        <x:v>199.21015136111075</x:v>
      </x:c>
      <x:c r="H140" s="17" t="n">
        <x:v>0.012254118201370434</x:v>
      </x:c>
      <x:c r="I140" s="17" t="n">
        <x:v>0.013512010533900142</x:v>
      </x:c>
    </x:row>
    <x:row r="141">
      <x:c r="A141" s="16" t="n">
        <x:v>42643</x:v>
      </x:c>
      <x:c r="B141" s="17" t="n">
        <x:v>-0.0029015916550617638</x:v>
      </x:c>
      <x:c r="C141" s="17" t="n">
        <x:v>0.002334769464788611</x:v>
      </x:c>
      <x:c r="D141" s="18" t="n">
        <x:v>0.9399757938079968</x:v>
      </x:c>
      <x:c r="E141" s="18" t="n">
        <x:v>0.5334904214134473</x:v>
      </x:c>
      <x:c r="F141" s="18" t="n">
        <x:f>F140*(1+B141)</x:f>
        <x:v>180.19722953635016</x:v>
      </x:c>
      <x:c r="G141" s="18" t="n">
        <x:f>G140*(1+C141)</x:f>
        <x:v>199.6752611395846</x:v>
      </x:c>
      <x:c r="H141" s="17" t="n">
        <x:v>-0.003101591655061764</x:v>
      </x:c>
      <x:c r="I141" s="17" t="n">
        <x:v>0.0021347694647886107</x:v>
      </x:c>
    </x:row>
    <x:row r="142">
      <x:c r="A142" s="16" t="n">
        <x:v>42674</x:v>
      </x:c>
      <x:c r="B142" s="17" t="n">
        <x:v>-0.0072801201634858925</x:v>
      </x:c>
      <x:c r="C142" s="17" t="n">
        <x:v>0.0012423768309064442</x:v>
      </x:c>
      <x:c r="D142" s="18" t="n">
        <x:v>1.0069897459143333</x:v>
      </x:c>
      <x:c r="E142" s="18" t="n">
        <x:v>0.602427899676053</x:v>
      </x:c>
      <x:c r="F142" s="18" t="n">
        <x:f>F141*(1+B142)</x:f>
        <x:v>178.88537205219828</x:v>
      </x:c>
      <x:c r="G142" s="18" t="n">
        <x:f>G141*(1+C142)</x:f>
        <x:v>199.9233330577296</x:v>
      </x:c>
      <x:c r="H142" s="17" t="n">
        <x:v>-0.007480120163485892</x:v>
      </x:c>
      <x:c r="I142" s="17" t="n">
        <x:v>0.0010423768309064441</x:v>
      </x:c>
    </x:row>
    <x:row r="143">
      <x:c r="A143" s="16" t="n">
        <x:v>42704</x:v>
      </x:c>
      <x:c r="B143" s="17" t="n">
        <x:v>-0.03169226452825413</x:v>
      </x:c>
      <x:c r="C143" s="17" t="n">
        <x:v>-0.021107764960602404</x:v>
      </x:c>
      <x:c r="D143" s="18" t="n">
        <x:v>0.962734813382715</x:v>
      </x:c>
      <x:c r="E143" s="18" t="n">
        <x:v>0.7112178199376786</x:v>
      </x:c>
      <x:c r="F143" s="18" t="n">
        <x:f>F142*(1+B143)</x:f>
        <x:v>173.21608952088485</x:v>
      </x:c>
      <x:c r="G143" s="18" t="n">
        <x:f>G142*(1+C143)</x:f>
        <x:v>195.7033983334068</x:v>
      </x:c>
      <x:c r="H143" s="17" t="n">
        <x:v>-0.031792264528254136</x:v>
      </x:c>
      <x:c r="I143" s="17" t="n">
        <x:v>-0.021207764960602404</x:v>
      </x:c>
    </x:row>
    <x:row r="144">
      <x:c r="A144" s="16" t="n">
        <x:v>42735</x:v>
      </x:c>
      <x:c r="B144" s="17" t="n">
        <x:v>0.010932579485615435</x:v>
      </x:c>
      <x:c r="C144" s="17" t="n">
        <x:v>0.013358752024257736</x:v>
      </x:c>
      <x:c r="D144" s="18" t="n">
        <x:v>0.8820624383190651</x:v>
      </x:c>
      <x:c r="E144" s="18" t="n">
        <x:v>0.6609565373113974</x:v>
      </x:c>
      <x:c r="F144" s="18" t="n">
        <x:f>F143*(1+B144)</x:f>
        <x:v>175.1097881877594</x:v>
      </x:c>
      <x:c r="G144" s="18" t="n">
        <x:f>G143*(1+C144)</x:f>
        <x:v>198.31775150204732</x:v>
      </x:c>
      <x:c r="H144" s="17" t="n">
        <x:v>0.010632579485615435</x:v>
      </x:c>
      <x:c r="I144" s="17" t="n">
        <x:v>0.013058752024257736</x:v>
      </x:c>
    </x:row>
    <x:row r="145">
      <x:c r="A145" s="16" t="n">
        <x:v>42766</x:v>
      </x:c>
      <x:c r="B145" s="17" t="n">
        <x:v>0.006320075413057902</x:v>
      </x:c>
      <x:c r="C145" s="17" t="n">
        <x:v>0.006823536461018076</x:v>
      </x:c>
      <x:c r="D145" s="18" t="n">
        <x:v>0.8665706880461785</x:v>
      </x:c>
      <x:c r="E145" s="18" t="n">
        <x:v>0.6630767070009442</x:v>
      </x:c>
      <x:c r="F145" s="18" t="n">
        <x:f>F144*(1+B145)</x:f>
        <x:v>176.21649525467063</x:v>
      </x:c>
      <x:c r="G145" s="18" t="n">
        <x:f>G144*(1+C145)</x:f>
        <x:v>199.67097991028865</x:v>
      </x:c>
      <x:c r="H145" s="17" t="n">
        <x:v>0.005920075413057902</x:v>
      </x:c>
      <x:c r="I145" s="17" t="n">
        <x:v>0.006423536461018076</x:v>
      </x:c>
    </x:row>
    <x:row r="146">
      <x:c r="A146" s="16" t="n">
        <x:v>42794</x:v>
      </x:c>
      <x:c r="B146" s="17" t="n">
        <x:v>0.01262699415792956</x:v>
      </x:c>
      <x:c r="C146" s="17" t="n">
        <x:v>0.010511471726567079</x:v>
      </x:c>
      <x:c r="D146" s="18" t="n">
        <x:v>0.9339013814258292</x:v>
      </x:c>
      <x:c r="E146" s="18" t="n">
        <x:v>0.7355582445692963</x:v>
      </x:c>
      <x:c r="F146" s="18" t="n">
        <x:f>F145*(1+B146)</x:f>
        <x:v>178.4415799107822</x:v>
      </x:c>
      <x:c r="G146" s="18" t="n">
        <x:f>G145*(1+C146)</x:f>
        <x:v>201.7698157702316</x:v>
      </x:c>
      <x:c r="H146" s="17" t="n">
        <x:v>0.012226994157929561</x:v>
      </x:c>
      <x:c r="I146" s="17" t="n">
        <x:v>0.01011147172656708</x:v>
      </x:c>
    </x:row>
    <x:row r="147">
      <x:c r="A147" s="16" t="n">
        <x:v>42825</x:v>
      </x:c>
      <x:c r="B147" s="17" t="n">
        <x:v>-0.005406804686623579</x:v>
      </x:c>
      <x:c r="C147" s="17" t="n">
        <x:v>-0.0033780719962425154</x:v>
      </x:c>
      <x:c r="D147" s="18" t="n">
        <x:v>0.9377461062059769</x:v>
      </x:c>
      <x:c r="E147" s="18" t="n">
        <x:v>0.7375406969953078</x:v>
      </x:c>
      <x:c r="F147" s="18" t="n">
        <x:f>F146*(1+B147)</x:f>
        <x:v>177.47678114023205</x:v>
      </x:c>
      <x:c r="G147" s="18" t="n">
        <x:f>G146*(1+C147)</x:f>
        <x:v>201.08822280589115</x:v>
      </x:c>
      <x:c r="H147" s="17" t="n">
        <x:v>-0.0057068046866235785</x:v>
      </x:c>
      <x:c r="I147" s="17" t="n">
        <x:v>-0.0036780719962425153</x:v>
      </x:c>
    </x:row>
    <x:row r="148">
      <x:c r="A148" s="16" t="n">
        <x:v>42855</x:v>
      </x:c>
      <x:c r="B148" s="17" t="n">
        <x:v>0.010626112962898171</x:v>
      </x:c>
      <x:c r="C148" s="17" t="n">
        <x:v>0.008706173165896391</x:v>
      </x:c>
      <x:c r="D148" s="18" t="n">
        <x:v>0.8926431948897128</x:v>
      </x:c>
      <x:c r="E148" s="18" t="n">
        <x:v>0.744619242918088</x:v>
      </x:c>
      <x:c r="F148" s="18" t="n">
        <x:f>F147*(1+B148)</x:f>
        <x:v>179.36266946491972</x:v>
      </x:c>
      <x:c r="G148" s="18" t="n">
        <x:f>G147*(1+C148)</x:f>
        <x:v>202.8389316952616</x:v>
      </x:c>
      <x:c r="H148" s="17" t="n">
        <x:v>0.01012611296289817</x:v>
      </x:c>
      <x:c r="I148" s="17" t="n">
        <x:v>0.008206173165896391</x:v>
      </x:c>
    </x:row>
    <x:row r="149">
      <x:c r="A149" s="16" t="n">
        <x:v>42886</x:v>
      </x:c>
      <x:c r="B149" s="17" t="n">
        <x:v>0.01447645233984618</x:v>
      </x:c>
      <x:c r="C149" s="17" t="n">
        <x:v>0.011159170348869152</x:v>
      </x:c>
      <x:c r="D149" s="18" t="n">
        <x:v>0.844049942655442</x:v>
      </x:c>
      <x:c r="E149" s="18" t="n">
        <x:v>0.7250887008265788</x:v>
      </x:c>
      <x:c r="F149" s="18" t="n">
        <x:f>F148*(1+B149)</x:f>
        <x:v>181.95920460097622</x:v>
      </x:c>
      <x:c r="G149" s="18" t="n">
        <x:f>G148*(1+C149)</x:f>
        <x:v>205.10244588743166</x:v>
      </x:c>
      <x:c r="H149" s="17" t="n">
        <x:v>0.01387645233984618</x:v>
      </x:c>
      <x:c r="I149" s="17" t="n">
        <x:v>0.010559170348869152</x:v>
      </x:c>
    </x:row>
    <x:row r="150">
      <x:c r="A150" s="16" t="n">
        <x:v>42916</x:v>
      </x:c>
      <x:c r="B150" s="17" t="n">
        <x:v>0.0047588217836431745</x:v>
      </x:c>
      <x:c r="C150" s="17" t="n">
        <x:v>0.004393421109135209</x:v>
      </x:c>
      <x:c r="D150" s="18" t="n">
        <x:v>0.761028423107407</x:v>
      </x:c>
      <x:c r="E150" s="18" t="n">
        <x:v>0.6468225127277211</x:v>
      </x:c>
      <x:c r="F150" s="18" t="n">
        <x:f>F149*(1+B150)</x:f>
        <x:v>182.82511602756574</x:v>
      </x:c>
      <x:c r="G150" s="18" t="n">
        <x:f>G149*(1+C150)</x:f>
        <x:v>206.00354730272875</x:v>
      </x:c>
      <x:c r="H150" s="17" t="n">
        <x:v>0.004158821783643175</x:v>
      </x:c>
      <x:c r="I150" s="17" t="n">
        <x:v>0.0037934211091352095</x:v>
      </x:c>
    </x:row>
    <x:row r="151">
      <x:c r="A151" s="16" t="n">
        <x:v>42947</x:v>
      </x:c>
      <x:c r="B151" s="17" t="n">
        <x:v>0.006171828394482937</x:v>
      </x:c>
      <x:c r="C151" s="17" t="n">
        <x:v>0.005728274152557056</x:v>
      </x:c>
      <x:c r="D151" s="18" t="n">
        <x:v>1.0772176011270347</x:v>
      </x:c>
      <x:c r="E151" s="18" t="n">
        <x:v>0.8054046029932902</x:v>
      </x:c>
      <x:c r="F151" s="18" t="n">
        <x:f>F150*(1+B151)</x:f>
        <x:v>183.9534812698893</x:v>
      </x:c>
      <x:c r="G151" s="18" t="n">
        <x:f>G150*(1+C151)</x:f>
        <x:v>207.18359209807804</x:v>
      </x:c>
      <x:c r="H151" s="17" t="n">
        <x:v>0.0054718283944829365</x:v>
      </x:c>
      <x:c r="I151" s="17" t="n">
        <x:v>0.005028274152557056</x:v>
      </x:c>
    </x:row>
    <x:row r="152">
      <x:c r="A152" s="16" t="n">
        <x:v>42978</x:v>
      </x:c>
      <x:c r="B152" s="17" t="n">
        <x:v>0.008533975159773277</x:v>
      </x:c>
      <x:c r="C152" s="17" t="n">
        <x:v>0.008658744435906307</x:v>
      </x:c>
      <x:c r="D152" s="18" t="n">
        <x:v>0.9437436219838227</x:v>
      </x:c>
      <x:c r="E152" s="18" t="n">
        <x:v>0.8123811025582341</x:v>
      </x:c>
      <x:c r="F152" s="18" t="n">
        <x:f>F151*(1+B152)</x:f>
        <x:v>185.52333570960036</x:v>
      </x:c>
      <x:c r="G152" s="18" t="n">
        <x:f>G151*(1+C152)</x:f>
        <x:v>208.97754187336835</x:v>
      </x:c>
      <x:c r="H152" s="17" t="n">
        <x:v>0.007633975159773277</x:v>
      </x:c>
      <x:c r="I152" s="17" t="n">
        <x:v>0.007758744435906307</x:v>
      </x:c>
    </x:row>
    <x:row r="153">
      <x:c r="A153" s="16" t="n">
        <x:v>43008</x:v>
      </x:c>
      <x:c r="B153" s="17" t="n">
        <x:v>-0.0028844458792088856</x:v>
      </x:c>
      <x:c r="C153" s="17" t="n">
        <x:v>-0.003809399971027694</x:v>
      </x:c>
      <x:c r="D153" s="18" t="n">
        <x:v>0.8828545096425311</x:v>
      </x:c>
      <x:c r="E153" s="18" t="n">
        <x:v>0.831620611756283</x:v>
      </x:c>
      <x:c r="F153" s="18" t="n">
        <x:f>F152*(1+B153)</x:f>
        <x:v>184.98820368841572</x:v>
      </x:c>
      <x:c r="G153" s="18" t="n">
        <x:f>G152*(1+C153)</x:f>
        <x:v>208.1814628314105</x:v>
      </x:c>
      <x:c r="H153" s="17" t="n">
        <x:v>-0.0037844458792088854</x:v>
      </x:c>
      <x:c r="I153" s="17" t="n">
        <x:v>-0.0047093999710276935</x:v>
      </x:c>
    </x:row>
    <x:row r="154">
      <x:c r="A154" s="16" t="n">
        <x:v>43039</x:v>
      </x:c>
      <x:c r="B154" s="17" t="n">
        <x:v>0.006002454360641396</x:v>
      </x:c>
      <x:c r="C154" s="17" t="n">
        <x:v>0.0056076822317685515</x:v>
      </x:c>
      <x:c r="D154" s="18" t="n">
        <x:v>0.9679504306665075</x:v>
      </x:c>
      <x:c r="E154" s="18" t="n">
        <x:v>1.0024931964752517</x:v>
      </x:c>
      <x:c r="F154" s="18" t="n">
        <x:f>F153*(1+B154)</x:f>
        <x:v>186.09858693831248</x:v>
      </x:c>
      <x:c r="G154" s="18" t="n">
        <x:f>G153*(1+C154)</x:f>
        <x:v>209.34887832151378</x:v>
      </x:c>
      <x:c r="H154" s="17" t="n">
        <x:v>0.005102454360641396</x:v>
      </x:c>
      <x:c r="I154" s="17" t="n">
        <x:v>0.004707682231768552</x:v>
      </x:c>
    </x:row>
    <x:row r="155">
      <x:c r="A155" s="16" t="n">
        <x:v>43069</x:v>
      </x:c>
      <x:c r="B155" s="17" t="n">
        <x:v>0.0002468985124468581</x:v>
      </x:c>
      <x:c r="C155" s="17" t="n">
        <x:v>0.00022855889120054762</x:v>
      </x:c>
      <x:c r="D155" s="18" t="n">
        <x:v>1.0514864948903573</x:v>
      </x:c>
      <x:c r="E155" s="18" t="n">
        <x:v>0.9176612937887783</x:v>
      </x:c>
      <x:c r="F155" s="18" t="n">
        <x:f>F154*(1+B155)</x:f>
        <x:v>186.144534402596</x:v>
      </x:c>
      <x:c r="G155" s="18" t="n">
        <x:f>G154*(1+C155)</x:f>
        <x:v>209.39672686901702</x:v>
      </x:c>
      <x:c r="H155" s="17" t="n">
        <x:v>-0.0005531014875531419</x:v>
      </x:c>
      <x:c r="I155" s="17" t="n">
        <x:v>-0.0005714411087994524</x:v>
      </x:c>
    </x:row>
    <x:row r="156">
      <x:c r="A156" s="16" t="n">
        <x:v>43100</x:v>
      </x:c>
      <x:c r="B156" s="17" t="n">
        <x:v>0.011033408025389768</x:v>
      </x:c>
      <x:c r="C156" s="17" t="n">
        <x:v>0.010080706922916738</x:v>
      </x:c>
      <x:c r="D156" s="18" t="n">
        <x:v>1.0360859678227992</x:v>
      </x:c>
      <x:c r="E156" s="18" t="n">
        <x:v>0.9080063375729865</x:v>
      </x:c>
      <x:c r="F156" s="18" t="n">
        <x:f>F155*(1+B156)</x:f>
        <x:v>188.19834300235604</x:v>
      </x:c>
      <x:c r="G156" s="18" t="n">
        <x:f>G155*(1+C156)</x:f>
        <x:v>211.5075939032016</x:v>
      </x:c>
      <x:c r="H156" s="17" t="n">
        <x:v>0.010133408025389768</x:v>
      </x:c>
      <x:c r="I156" s="17" t="n">
        <x:v>0.009180706922916738</x:v>
      </x:c>
    </x:row>
    <x:row r="157">
      <x:c r="A157" s="16" t="n">
        <x:v>43131</x:v>
      </x:c>
      <x:c r="B157" s="17" t="n">
        <x:v>-0.007719963838881627</x:v>
      </x:c>
      <x:c r="C157" s="17" t="n">
        <x:v>-0.0022936787407709103</x:v>
      </x:c>
      <x:c r="D157" s="18" t="n">
        <x:v>1.1129404574571595</x:v>
      </x:c>
      <x:c r="E157" s="18" t="n">
        <x:v>0.872541280327337</x:v>
      </x:c>
      <x:c r="F157" s="18" t="n">
        <x:f>F156*(1+B157)</x:f>
        <x:v>186.74545859984042</x:v>
      </x:c>
      <x:c r="G157" s="18" t="n">
        <x:f>G156*(1+C157)</x:f>
        <x:v>211.02246343155423</x:v>
      </x:c>
      <x:c r="H157" s="17" t="n">
        <x:v>-0.008819963838881627</x:v>
      </x:c>
      <x:c r="I157" s="17" t="n">
        <x:v>-0.0033936787407709106</x:v>
      </x:c>
    </x:row>
    <x:row r="158">
      <x:c r="A158" s="16" t="n">
        <x:v>43159</x:v>
      </x:c>
      <x:c r="B158" s="17" t="n">
        <x:v>-0.02257877277007936</x:v>
      </x:c>
      <x:c r="C158" s="17" t="n">
        <x:v>-0.017730736556975213</x:v>
      </x:c>
      <x:c r="D158" s="18" t="n">
        <x:v>0.9238518421647692</x:v>
      </x:c>
      <x:c r="E158" s="18" t="n">
        <x:v>0.7128211100163875</x:v>
      </x:c>
      <x:c r="F158" s="18" t="n">
        <x:f>F157*(1+B158)</x:f>
        <x:v>182.52897532427036</x:v>
      </x:c>
      <x:c r="G158" s="18" t="n">
        <x:f>G157*(1+C158)</x:f>
        <x:v>207.2808797248454</x:v>
      </x:c>
      <x:c r="H158" s="17" t="n">
        <x:v>-0.02367877277007936</x:v>
      </x:c>
      <x:c r="I158" s="17" t="n">
        <x:v>-0.018830736556975213</x:v>
      </x:c>
    </x:row>
    <x:row r="159">
      <x:c r="A159" s="16" t="n">
        <x:v>43190</x:v>
      </x:c>
      <x:c r="B159" s="17" t="n">
        <x:v>0.000353397346749329</x:v>
      </x:c>
      <x:c r="C159" s="17" t="n">
        <x:v>-0.0007858289046515088</x:v>
      </x:c>
      <x:c r="D159" s="18" t="n">
        <x:v>0.9499921086359309</x:v>
      </x:c>
      <x:c r="E159" s="18" t="n">
        <x:v>0.7609935541379287</x:v>
      </x:c>
      <x:c r="F159" s="18" t="n">
        <x:f>F158*(1+B159)</x:f>
        <x:v>182.59348057985483</x:v>
      </x:c>
      <x:c r="G159" s="18" t="n">
        <x:f>G158*(1+C159)</x:f>
        <x:v>207.11799241817602</x:v>
      </x:c>
      <x:c r="H159" s="17" t="n">
        <x:v>-0.0008466026532506709</x:v>
      </x:c>
      <x:c r="I159" s="17" t="n">
        <x:v>-0.0019858289046515085</x:v>
      </x:c>
    </x:row>
    <x:row r="160">
      <x:c r="A160" s="16" t="n">
        <x:v>43220</x:v>
      </x:c>
      <x:c r="B160" s="17" t="n">
        <x:v>-0.01062199019195631</x:v>
      </x:c>
      <x:c r="C160" s="17" t="n">
        <x:v>-0.006619446715038779</x:v>
      </x:c>
      <x:c r="D160" s="18" t="n">
        <x:v>1.152311876543278</x:v>
      </x:c>
      <x:c r="E160" s="18" t="n">
        <x:v>1.1349802918367597</x:v>
      </x:c>
      <x:c r="F160" s="18" t="n">
        <x:f>F159*(1+B160)</x:f>
        <x:v>180.65397442002043</x:v>
      </x:c>
      <x:c r="G160" s="18" t="n">
        <x:f>G159*(1+C160)</x:f>
        <x:v>205.7469859036381</x:v>
      </x:c>
      <x:c r="H160" s="17" t="n">
        <x:v>-0.01202199019195631</x:v>
      </x:c>
      <x:c r="I160" s="17" t="n">
        <x:v>-0.00801944671503878</x:v>
      </x:c>
    </x:row>
    <x:row r="161">
      <x:c r="A161" s="16" t="n">
        <x:v>43251</x:v>
      </x:c>
      <x:c r="B161" s="17" t="n">
        <x:v>0.003447202180696385</x:v>
      </x:c>
      <x:c r="C161" s="17" t="n">
        <x:v>0.004281510484242412</x:v>
      </x:c>
      <x:c r="D161" s="18" t="n">
        <x:v>1.163789261987823</x:v>
      </x:c>
      <x:c r="E161" s="18" t="n">
        <x:v>0.9501305045101117</x:v>
      </x:c>
      <x:c r="F161" s="18" t="n">
        <x:f>F160*(1+B161)</x:f>
        <x:v>181.2767251945926</x:v>
      </x:c>
      <x:c r="G161" s="18" t="n">
        <x:f>G160*(1+C161)</x:f>
        <x:v>206.62789378088578</x:v>
      </x:c>
      <x:c r="H161" s="17" t="n">
        <x:v>0.0020472021806963846</x:v>
      </x:c>
      <x:c r="I161" s="17" t="n">
        <x:v>0.002881510484242412</x:v>
      </x:c>
    </x:row>
    <x:row r="162">
      <x:c r="A162" s="16" t="n">
        <x:v>43281</x:v>
      </x:c>
      <x:c r="B162" s="17" t="n">
        <x:v>-0.00963196208446504</x:v>
      </x:c>
      <x:c r="C162" s="17" t="n">
        <x:v>-0.007956064086815262</x:v>
      </x:c>
      <x:c r="D162" s="18" t="n">
        <x:v>1.0810782210941599</x:v>
      </x:c>
      <x:c r="E162" s="18" t="n">
        <x:v>1.0325605243014735</x:v>
      </x:c>
      <x:c r="F162" s="18" t="n">
        <x:f>F161*(1+B162)</x:f>
        <x:v>179.5306746507223</x:v>
      </x:c>
      <x:c r="G162" s="18" t="n">
        <x:f>G161*(1+C162)</x:f>
        <x:v>204.9839490158414</x:v>
      </x:c>
      <x:c r="H162" s="17" t="n">
        <x:v>-0.01103196208446504</x:v>
      </x:c>
      <x:c r="I162" s="17" t="n">
        <x:v>-0.009356064086815262</x:v>
      </x:c>
    </x:row>
    <x:row r="163">
      <x:c r="A163" s="16" t="n">
        <x:v>43312</x:v>
      </x:c>
      <x:c r="B163" s="17" t="n">
        <x:v>0.00805846022317036</x:v>
      </x:c>
      <x:c r="C163" s="17" t="n">
        <x:v>0.00896629892329881</x:v>
      </x:c>
      <x:c r="D163" s="18" t="n">
        <x:v>1.032162797896584</x:v>
      </x:c>
      <x:c r="E163" s="18" t="n">
        <x:v>1.0042782702117468</x:v>
      </x:c>
      <x:c r="F163" s="18" t="n">
        <x:f>F162*(1+B163)</x:f>
        <x:v>180.97741545123407</x:v>
      </x:c>
      <x:c r="G163" s="18" t="n">
        <x:f>G162*(1+C163)</x:f>
        <x:v>206.82189637719569</x:v>
      </x:c>
      <x:c r="H163" s="17" t="n">
        <x:v>0.006458460223170361</x:v>
      </x:c>
      <x:c r="I163" s="17" t="n">
        <x:v>0.00736629892329881</x:v>
      </x:c>
    </x:row>
    <x:row r="164">
      <x:c r="A164" s="16" t="n">
        <x:v>43343</x:v>
      </x:c>
      <x:c r="B164" s="17" t="n">
        <x:v>0.006319815882013469</x:v>
      </x:c>
      <x:c r="C164" s="17" t="n">
        <x:v>0.005595097682967953</x:v>
      </x:c>
      <x:c r="D164" s="18" t="n">
        <x:v>1.1465493013912722</x:v>
      </x:c>
      <x:c r="E164" s="18" t="n">
        <x:v>1.1838466613524172</x:v>
      </x:c>
      <x:c r="F164" s="18" t="n">
        <x:f>F163*(1+B164)</x:f>
        <x:v>182.12115939568852</x:v>
      </x:c>
      <x:c r="G164" s="18" t="n">
        <x:f>G163*(1+C164)</x:f>
        <x:v>207.97908509040278</x:v>
      </x:c>
      <x:c r="H164" s="17" t="n">
        <x:v>0.004719815882013469</x:v>
      </x:c>
      <x:c r="I164" s="17" t="n">
        <x:v>0.003995097682967953</x:v>
      </x:c>
    </x:row>
    <x:row r="165">
      <x:c r="A165" s="16" t="n">
        <x:v>43373</x:v>
      </x:c>
      <x:c r="B165" s="17" t="n">
        <x:v>-0.006560889866875197</x:v>
      </x:c>
      <x:c r="C165" s="17" t="n">
        <x:v>-0.00509067060683932</x:v>
      </x:c>
      <x:c r="D165" s="18" t="n">
        <x:v>1.0646434936944034</x:v>
      </x:c>
      <x:c r="E165" s="18" t="n">
        <x:v>1.021974834541609</x:v>
      </x:c>
      <x:c r="F165" s="18" t="n">
        <x:f>F164*(1+B165)</x:f>
        <x:v>180.9262825264658</x:v>
      </x:c>
      <x:c r="G165" s="18" t="n">
        <x:f>G164*(1+C165)</x:f>
        <x:v>206.92033207509573</x:v>
      </x:c>
      <x:c r="H165" s="17" t="n">
        <x:v>-0.008060889866875197</x:v>
      </x:c>
      <x:c r="I165" s="17" t="n">
        <x:v>-0.00659067060683932</x:v>
      </x:c>
    </x:row>
    <x:row r="166">
      <x:c r="A166" s="16" t="n">
        <x:v>43404</x:v>
      </x:c>
      <x:c r="B166" s="17" t="n">
        <x:v>-0.026093358093897567</x:v>
      </x:c>
      <x:c r="C166" s="17" t="n">
        <x:v>-0.026211833321275857</x:v>
      </x:c>
      <x:c r="D166" s="18" t="n">
        <x:v>0.9943016790851553</x:v>
      </x:c>
      <x:c r="E166" s="18" t="n">
        <x:v>0.9048122158952276</x:v>
      </x:c>
      <x:c r="F166" s="18" t="n">
        <x:f>F165*(1+B166)</x:f>
        <x:v>176.20530824790504</x:v>
      </x:c>
      <x:c r="G166" s="18" t="n">
        <x:f>G165*(1+C166)</x:f>
        <x:v>201.49657081996028</x:v>
      </x:c>
      <x:c r="H166" s="17" t="n">
        <x:v>-0.027993358093897566</x:v>
      </x:c>
      <x:c r="I166" s="17" t="n">
        <x:v>-0.028111833321275856</x:v>
      </x:c>
    </x:row>
    <x:row r="167">
      <x:c r="A167" s="16" t="n">
        <x:v>43434</x:v>
      </x:c>
      <x:c r="B167" s="17" t="n">
        <x:v>-0.0053497041946897195</x:v>
      </x:c>
      <x:c r="C167" s="17" t="n">
        <x:v>-0.0073621576130152855</x:v>
      </x:c>
      <x:c r="D167" s="18" t="n">
        <x:v>1.0094251645032175</x:v>
      </x:c>
      <x:c r="E167" s="18" t="n">
        <x:v>1.0639648467409475</x:v>
      </x:c>
      <x:c r="F167" s="18" t="n">
        <x:f>F166*(1+B167)</x:f>
        <x:v>175.26266197124463</x:v>
      </x:c>
      <x:c r="G167" s="18" t="n">
        <x:f>G166*(1+C167)</x:f>
        <x:v>200.01312130710164</x:v>
      </x:c>
      <x:c r="H167" s="17" t="n">
        <x:v>-0.007149704194689719</x:v>
      </x:c>
      <x:c r="I167" s="17" t="n">
        <x:v>-0.009162157613015285</x:v>
      </x:c>
    </x:row>
    <x:row r="168">
      <x:c r="A168" s="16" t="n">
        <x:v>43465</x:v>
      </x:c>
      <x:c r="B168" s="17" t="n">
        <x:v>0.013767364710896901</x:v>
      </x:c>
      <x:c r="C168" s="17" t="n">
        <x:v>0.011656566742821006</x:v>
      </x:c>
      <x:c r="D168" s="18" t="n">
        <x:v>0.9563696919803495</x:v>
      </x:c>
      <x:c r="E168" s="18" t="n">
        <x:v>0.9865661887044304</x:v>
      </x:c>
      <x:c r="F168" s="18" t="n">
        <x:f>F167*(1+B168)</x:f>
        <x:v>177.6755669588054</x:v>
      </x:c>
      <x:c r="G168" s="18" t="n">
        <x:f>G167*(1+C168)</x:f>
        <x:v>202.34458760505782</x:v>
      </x:c>
      <x:c r="H168" s="17" t="n">
        <x:v>0.0118673647108969</x:v>
      </x:c>
      <x:c r="I168" s="17" t="n">
        <x:v>0.009756566742821006</x:v>
      </x:c>
    </x:row>
    <x:row r="169">
      <x:c r="A169" s="16" t="n">
        <x:v>43496</x:v>
      </x:c>
      <x:c r="B169" s="17" t="n">
        <x:v>0.021216090423776146</x:v>
      </x:c>
      <x:c r="C169" s="17" t="n">
        <x:v>0.01712101886309858</x:v>
      </x:c>
      <x:c r="D169" s="18" t="n">
        <x:v>1.0045730045281713</x:v>
      </x:c>
      <x:c r="E169" s="18" t="n">
        <x:v>1.0567456396440855</x:v>
      </x:c>
      <x:c r="F169" s="18" t="n">
        <x:f>F168*(1+B169)</x:f>
        <x:v>181.44514785349912</x:v>
      </x:c>
      <x:c r="G169" s="18" t="n">
        <x:f>G168*(1+C169)</x:f>
        <x:v>205.8089331062899</x:v>
      </x:c>
      <x:c r="H169" s="17" t="n">
        <x:v>0.019116090423776145</x:v>
      </x:c>
      <x:c r="I169" s="17" t="n">
        <x:v>0.015021018863098581</x:v>
      </x:c>
    </x:row>
    <x:row r="170">
      <x:c r="A170" s="16" t="n">
        <x:v>43524</x:v>
      </x:c>
      <x:c r="B170" s="17" t="n">
        <x:v>0.00766911847456897</x:v>
      </x:c>
      <x:c r="C170" s="17" t="n">
        <x:v>0.009476118796924338</x:v>
      </x:c>
      <x:c r="D170" s="18" t="n">
        <x:v>1.2029356259715944</x:v>
      </x:c>
      <x:c r="E170" s="18" t="n">
        <x:v>1.4703309230331536</x:v>
      </x:c>
      <x:c r="F170" s="18" t="n">
        <x:f>F169*(1+B170)</x:f>
        <x:v>182.8366721890233</x:v>
      </x:c>
      <x:c r="G170" s="18" t="n">
        <x:f>G169*(1+C170)</x:f>
        <x:v>207.75920300587336</x:v>
      </x:c>
      <x:c r="H170" s="17" t="n">
        <x:v>0.0058691184745689705</x:v>
      </x:c>
      <x:c r="I170" s="17" t="n">
        <x:v>0.007676118796924338</x:v>
      </x:c>
    </x:row>
    <x:row r="171">
      <x:c r="A171" s="16" t="n">
        <x:v>43555</x:v>
      </x:c>
      <x:c r="B171" s="17" t="n">
        <x:v>0.03093047508397162</x:v>
      </x:c>
      <x:c r="C171" s="17" t="n">
        <x:v>0.030022842342333877</x:v>
      </x:c>
      <x:c r="D171" s="18" t="n">
        <x:v>1.159289432802809</x:v>
      </x:c>
      <x:c r="E171" s="18" t="n">
        <x:v>1.0153971243326072</x:v>
      </x:c>
      <x:c r="F171" s="18" t="n">
        <x:f>F170*(1+B171)</x:f>
        <x:v>188.49189732260217</x:v>
      </x:c>
      <x:c r="G171" s="18" t="n">
        <x:f>G170*(1+C171)</x:f>
        <x:v>213.99672480288763</x:v>
      </x:c>
      <x:c r="H171" s="17" t="n">
        <x:v>0.02903047508397162</x:v>
      </x:c>
      <x:c r="I171" s="17" t="n">
        <x:v>0.02812284234233388</x:v>
      </x:c>
    </x:row>
    <x:row r="172">
      <x:c r="A172" s="16" t="n">
        <x:v>43585</x:v>
      </x:c>
      <x:c r="B172" s="17" t="n">
        <x:v>0.009684501562196246</x:v>
      </x:c>
      <x:c r="C172" s="17" t="n">
        <x:v>0.00759165203287826</x:v>
      </x:c>
      <x:c r="D172" s="18" t="n">
        <x:v>1.0255626443330015</x:v>
      </x:c>
      <x:c r="E172" s="18" t="n">
        <x:v>0.9192919113200277</x:v>
      </x:c>
      <x:c r="F172" s="18" t="n">
        <x:f>F171*(1+B172)</x:f>
        <x:v>190.31734739668426</x:v>
      </x:c>
      <x:c r="G172" s="18" t="n">
        <x:f>G171*(1+C172)</x:f>
        <x:v>215.62131347376675</x:v>
      </x:c>
      <x:c r="H172" s="17" t="n">
        <x:v>0.007584501562196247</x:v>
      </x:c>
      <x:c r="I172" s="17" t="n">
        <x:v>0.0054916520328782605</x:v>
      </x:c>
    </x:row>
    <x:row r="173">
      <x:c r="A173" s="16" t="n">
        <x:v>43616</x:v>
      </x:c>
      <x:c r="B173" s="17" t="n">
        <x:v>0.014279498780943367</x:v>
      </x:c>
      <x:c r="C173" s="17" t="n">
        <x:v>0.01358279560262976</x:v>
      </x:c>
      <x:c r="D173" s="18" t="n">
        <x:v>1.0557362799520145</x:v>
      </x:c>
      <x:c r="E173" s="18" t="n">
        <x:v>1.0788378101334573</x:v>
      </x:c>
      <x:c r="F173" s="18" t="n">
        <x:f>F172*(1+B173)</x:f>
        <x:v>193.0349837268276</x:v>
      </x:c>
      <x:c r="G173" s="18" t="n">
        <x:f>G172*(1+C173)</x:f>
        <x:v>218.5500537022515</x:v>
      </x:c>
      <x:c r="H173" s="17" t="n">
        <x:v>0.012179498780943368</x:v>
      </x:c>
      <x:c r="I173" s="17" t="n">
        <x:v>0.01148279560262976</x:v>
      </x:c>
    </x:row>
    <x:row r="174">
      <x:c r="A174" s="16" t="n">
        <x:v>43646</x:v>
      </x:c>
      <x:c r="B174" s="17" t="n">
        <x:v>0.02607036751801184</x:v>
      </x:c>
      <x:c r="C174" s="17" t="n">
        <x:v>0.024695997924652602</x:v>
      </x:c>
      <x:c r="D174" s="18" t="n">
        <x:v>0.9833632274209503</x:v>
      </x:c>
      <x:c r="E174" s="18" t="n">
        <x:v>1.0469457772391095</x:v>
      </x:c>
      <x:c r="F174" s="18" t="n">
        <x:f>F173*(1+B174)</x:f>
        <x:v>198.06747669641942</x:v>
      </x:c>
      <x:c r="G174" s="18" t="n">
        <x:f>G173*(1+C174)</x:f>
        <x:v>223.947365374915</x:v>
      </x:c>
      <x:c r="H174" s="17" t="n">
        <x:v>0.02427036751801184</x:v>
      </x:c>
      <x:c r="I174" s="17" t="n">
        <x:v>0.022895997924652602</x:v>
      </x:c>
    </x:row>
    <x:row r="175">
      <x:c r="A175" s="16" t="n">
        <x:v>43677</x:v>
      </x:c>
      <x:c r="B175" s="17" t="n">
        <x:v>0.009122684303247919</x:v>
      </x:c>
      <x:c r="C175" s="17" t="n">
        <x:v>0.009272381778354655</x:v>
      </x:c>
      <x:c r="D175" s="18" t="n">
        <x:v>1.093484572814374</x:v>
      </x:c>
      <x:c r="E175" s="18" t="n">
        <x:v>1.302781313575157</x:v>
      </x:c>
      <x:c r="F175" s="18" t="n">
        <x:f>F174*(1+B175)</x:f>
        <x:v>199.87438375706176</x:v>
      </x:c>
      <x:c r="G175" s="18" t="n">
        <x:f>G174*(1+C175)</x:f>
        <x:v>226.02389084492788</x:v>
      </x:c>
      <x:c r="H175" s="17" t="n">
        <x:v>0.007222684303247919</x:v>
      </x:c>
      <x:c r="I175" s="17" t="n">
        <x:v>0.007372381778354655</x:v>
      </x:c>
    </x:row>
    <x:row r="176">
      <x:c r="A176" s="16" t="n">
        <x:v>43708</x:v>
      </x:c>
      <x:c r="B176" s="17" t="n">
        <x:v>0.038419822991421215</x:v>
      </x:c>
      <x:c r="C176" s="17" t="n">
        <x:v>0.038736964804945595</x:v>
      </x:c>
      <x:c r="D176" s="18" t="n">
        <x:v>1.1534377963764288</x:v>
      </x:c>
      <x:c r="E176" s="18" t="n">
        <x:v>0.9898897068588264</x:v>
      </x:c>
      <x:c r="F176" s="18" t="n">
        <x:f>F175*(1+B176)</x:f>
        <x:v>207.55352220152747</x:v>
      </x:c>
      <x:c r="G176" s="18" t="n">
        <x:f>G175*(1+C176)</x:f>
        <x:v>234.7793703496647</x:v>
      </x:c>
      <x:c r="H176" s="17" t="n">
        <x:v>0.03681982299142122</x:v>
      </x:c>
      <x:c r="I176" s="17" t="n">
        <x:v>0.0371369648049456</x:v>
      </x:c>
    </x:row>
    <x:row r="177">
      <x:c r="A177" s="16" t="n">
        <x:v>43738</x:v>
      </x:c>
      <x:c r="B177" s="17" t="n">
        <x:v>-0.011446898395524818</x:v>
      </x:c>
      <x:c r="C177" s="17" t="n">
        <x:v>-0.012498162482599828</x:v>
      </x:c>
      <x:c r="D177" s="18" t="n">
        <x:v>0.972801909711823</x:v>
      </x:c>
      <x:c r="E177" s="18" t="n">
        <x:v>1.0097199575367413</x:v>
      </x:c>
      <x:c r="F177" s="18" t="n">
        <x:f>F176*(1+B177)</x:f>
        <x:v>205.17767812125328</x:v>
      </x:c>
      <x:c r="G177" s="18" t="n">
        <x:f>G176*(1+C177)</x:f>
        <x:v>231.8450596314721</x:v>
      </x:c>
      <x:c r="H177" s="17" t="n">
        <x:v>-0.013246898395524818</x:v>
      </x:c>
      <x:c r="I177" s="17" t="n">
        <x:v>-0.014298162482599828</x:v>
      </x:c>
    </x:row>
    <x:row r="178">
      <x:c r="A178" s="16" t="n">
        <x:v>43769</x:v>
      </x:c>
      <x:c r="B178" s="17" t="n">
        <x:v>0.0041624466745711075</x:v>
      </x:c>
      <x:c r="C178" s="17" t="n">
        <x:v>0.003166336430643346</x:v>
      </x:c>
      <x:c r="D178" s="18" t="n">
        <x:v>1.081964576211349</x:v>
      </x:c>
      <x:c r="E178" s="18" t="n">
        <x:v>1.1067927751372846</x:v>
      </x:c>
      <x:c r="F178" s="18" t="n">
        <x:f>F177*(1+B178)</x:f>
        <x:v>206.0317192652453</x:v>
      </x:c>
      <x:c r="G178" s="18" t="n">
        <x:f>G177*(1+C178)</x:f>
        <x:v>232.5791590900479</x:v>
      </x:c>
      <x:c r="H178" s="17" t="n">
        <x:v>0.0026624466745711075</x:v>
      </x:c>
      <x:c r="I178" s="17" t="n">
        <x:v>0.001666336430643346</x:v>
      </x:c>
    </x:row>
    <x:row r="179">
      <x:c r="A179" s="16" t="n">
        <x:v>43799</x:v>
      </x:c>
      <x:c r="B179" s="17" t="n">
        <x:v>0.004245274932553222</x:v>
      </x:c>
      <x:c r="C179" s="17" t="n">
        <x:v>0.004706043546121252</x:v>
      </x:c>
      <x:c r="D179" s="18" t="n">
        <x:v>1.025240634931318</x:v>
      </x:c>
      <x:c r="E179" s="18" t="n">
        <x:v>1.0276749309065</x:v>
      </x:c>
      <x:c r="F179" s="18" t="n">
        <x:f>F178*(1+B179)</x:f>
        <x:v>206.90638055835288</x:v>
      </x:c>
      <x:c r="G179" s="18" t="n">
        <x:f>G178*(1+C179)</x:f>
        <x:v>233.67368674064593</x:v>
      </x:c>
      <x:c r="H179" s="17" t="n">
        <x:v>0.0030452749325532227</x:v>
      </x:c>
      <x:c r="I179" s="17" t="n">
        <x:v>0.0035060435461212527</x:v>
      </x:c>
    </x:row>
    <x:row r="180">
      <x:c r="A180" s="16" t="n">
        <x:v>43830</x:v>
      </x:c>
      <x:c r="B180" s="17" t="n">
        <x:v>0.0017048301065811788</x:v>
      </x:c>
      <x:c r="C180" s="17" t="n">
        <x:v>0.0049369894581294815</x:v>
      </x:c>
      <x:c r="D180" s="18" t="n">
        <x:v>0.9728989210567568</x:v>
      </x:c>
      <x:c r="E180" s="18" t="n">
        <x:v>1.010465508904566</x:v>
      </x:c>
      <x:c r="F180" s="18" t="n">
        <x:f>F179*(1+B180)</x:f>
        <x:v>207.2591207851725</x:v>
      </x:c>
      <x:c r="G180" s="18" t="n">
        <x:f>G179*(1+C180)</x:f>
        <x:v>234.82733126872677</x:v>
      </x:c>
      <x:c r="H180" s="17" t="n">
        <x:v>0.00030483010658117864</x:v>
      </x:c>
      <x:c r="I180" s="17" t="n">
        <x:v>0.0035369894581294813</x:v>
      </x:c>
    </x:row>
    <x:row r="181">
      <x:c r="A181" s="16" t="n">
        <x:v>43861</x:v>
      </x:c>
      <x:c r="B181" s="17" t="n">
        <x:v>0.031836899094465965</x:v>
      </x:c>
      <x:c r="C181" s="17" t="n">
        <x:v>0.023922310390968482</x:v>
      </x:c>
      <x:c r="D181" s="18" t="n">
        <x:v>1.082839537208073</x:v>
      </x:c>
      <x:c r="E181" s="18" t="n">
        <x:v>1.0835124201611581</x:v>
      </x:c>
      <x:c r="F181" s="18" t="n">
        <x:f>F180*(1+B181)</x:f>
        <x:v>213.8576085000178</x:v>
      </x:c>
      <x:c r="G181" s="18" t="n">
        <x:f>G180*(1+C181)</x:f>
        <x:v>240.44494357562002</x:v>
      </x:c>
      <x:c r="H181" s="17" t="n">
        <x:v>0.030536899094465966</x:v>
      </x:c>
      <x:c r="I181" s="17" t="n">
        <x:v>0.022622310390968483</x:v>
      </x:c>
    </x:row>
    <x:row r="182">
      <x:c r="A182" s="16" t="n">
        <x:v>43890</x:v>
      </x:c>
      <x:c r="B182" s="17" t="n">
        <x:v>0.016647054354718138</x:v>
      </x:c>
      <x:c r="C182" s="17" t="n">
        <x:v>0.01318107818148162</x:v>
      </x:c>
      <x:c r="D182" s="18" t="n">
        <x:v>1.0677083424886713</x:v>
      </x:c>
      <x:c r="E182" s="18" t="n">
        <x:v>1.0332267544116767</x:v>
      </x:c>
      <x:c r="F182" s="18" t="n">
        <x:f>F181*(1+B182)</x:f>
        <x:v>217.4177077328876</x:v>
      </x:c>
      <x:c r="G182" s="18" t="n">
        <x:f>G181*(1+C182)</x:f>
        <x:v>243.61426717523221</x:v>
      </x:c>
      <x:c r="H182" s="17" t="n">
        <x:v>0.015447054354718139</x:v>
      </x:c>
      <x:c r="I182" s="17" t="n">
        <x:v>0.01198107818148162</x:v>
      </x:c>
    </x:row>
    <x:row r="183">
      <x:c r="A183" s="16" t="n">
        <x:v>43921</x:v>
      </x:c>
      <x:c r="B183" s="17" t="n">
        <x:v>-0.09853629072969627</x:v>
      </x:c>
      <x:c r="C183" s="17" t="n">
        <x:v>-0.09966635423365322</x:v>
      </x:c>
      <x:c r="D183" s="18" t="n">
        <x:v>0.9375574007206461</x:v>
      </x:c>
      <x:c r="E183" s="18" t="n">
        <x:v>0.8836296302170834</x:v>
      </x:c>
      <x:c r="F183" s="18" t="n">
        <x:f>F182*(1+B183)</x:f>
        <x:v>195.99417327393567</x:v>
      </x:c>
      <x:c r="G183" s="18" t="n">
        <x:f>G182*(1+C183)</x:f>
        <x:v>219.3341213265737</x:v>
      </x:c>
      <x:c r="H183" s="17" t="n">
        <x:v>-0.09973629072969628</x:v>
      </x:c>
      <x:c r="I183" s="17" t="n">
        <x:v>-0.10086635423365323</x:v>
      </x:c>
    </x:row>
    <x:row r="184">
      <x:c r="A184" s="16" t="n">
        <x:v>43951</x:v>
      </x:c>
      <x:c r="B184" s="17" t="n">
        <x:v>0.0535879003001829</x:v>
      </x:c>
      <x:c r="C184" s="17" t="n">
        <x:v>0.044800338209994406</x:v>
      </x:c>
      <x:c r="D184" s="18" t="n">
        <x:v>1.2043476050083393</x:v>
      </x:c>
      <x:c r="E184" s="18" t="n">
        <x:v>1.272899954766645</x:v>
      </x:c>
      <x:c r="F184" s="18" t="n">
        <x:f>F183*(1+B184)</x:f>
        <x:v>206.4970894907561</x:v>
      </x:c>
      <x:c r="G184" s="18" t="n">
        <x:f>G183*(1+C184)</x:f>
        <x:v>229.16036414299614</x:v>
      </x:c>
      <x:c r="H184" s="17" t="n">
        <x:v>0.0535879003001829</x:v>
      </x:c>
      <x:c r="I184" s="17" t="n">
        <x:v>0.044800338209994406</x:v>
      </x:c>
    </x:row>
    <x:row r="185">
      <x:c r="A185" s="16" t="n">
        <x:v>43982</x:v>
      </x:c>
      <x:c r="B185" s="17" t="n">
        <x:v>0.017546352319609104</x:v>
      </x:c>
      <x:c r="C185" s="17" t="n">
        <x:v>0.03313893613146024</x:v>
      </x:c>
      <x:c r="D185" s="18" t="n">
        <x:v>0.8882202917816673</x:v>
      </x:c>
      <x:c r="E185" s="18" t="n">
        <x:v>1.0569531563402306</x:v>
      </x:c>
      <x:c r="F185" s="18" t="n">
        <x:f>F184*(1+B185)</x:f>
        <x:v>210.12036017593476</x:v>
      </x:c>
      <x:c r="G185" s="18" t="n">
        <x:f>G184*(1+C185)</x:f>
        <x:v>236.75449481419307</x:v>
      </x:c>
      <x:c r="H185" s="17" t="n">
        <x:v>0.017446352319609105</x:v>
      </x:c>
      <x:c r="I185" s="17" t="n">
        <x:v>0.033038936131460236</x:v>
      </x:c>
    </x:row>
    <x:row r="186">
      <x:c r="A186" s="16" t="n">
        <x:v>44012</x:v>
      </x:c>
      <x:c r="B186" s="17" t="n">
        <x:v>0.013389833010349017</x:v>
      </x:c>
      <x:c r="C186" s="17" t="n">
        <x:v>0.015570151067397564</x:v>
      </x:c>
      <x:c r="D186" s="18" t="n">
        <x:v>0.6681997388972588</x:v>
      </x:c>
      <x:c r="E186" s="18" t="n">
        <x:v>0.6207965981062217</x:v>
      </x:c>
      <x:c r="F186" s="18" t="n">
        <x:f>F185*(1+B186)</x:f>
        <x:v>212.93383671076492</x:v>
      </x:c>
      <x:c r="G186" s="18" t="n">
        <x:f>G185*(1+C186)</x:f>
        <x:v>240.44079806433544</x:v>
      </x:c>
      <x:c r="H186" s="17" t="n">
        <x:v>0.013289833010349018</x:v>
      </x:c>
      <x:c r="I186" s="17" t="n">
        <x:v>0.015470151067397565</x:v>
      </x:c>
    </x:row>
    <x:row r="187">
      <x:c r="A187" s="16" t="n">
        <x:v>44043</x:v>
      </x:c>
      <x:c r="B187" s="17" t="n">
        <x:v>0.026566949380616878</x:v>
      </x:c>
      <x:c r="C187" s="17" t="n">
        <x:v>0.0259774480938606</x:v>
      </x:c>
      <x:c r="D187" s="18" t="n">
        <x:v>0.6695114349428166</x:v>
      </x:c>
      <x:c r="E187" s="18" t="n">
        <x:v>0.6297502298352542</x:v>
      </x:c>
      <x:c r="F187" s="18" t="n">
        <x:f>F186*(1+B187)</x:f>
        <x:v>218.59083917208036</x:v>
      </x:c>
      <x:c r="G187" s="18" t="n">
        <x:f>G186*(1+C187)</x:f>
        <x:v>246.68683641569814</x:v>
      </x:c>
      <x:c r="H187" s="17" t="n">
        <x:v>0.02646694938061688</x:v>
      </x:c>
      <x:c r="I187" s="17" t="n">
        <x:v>0.0258774480938606</x:v>
      </x:c>
    </x:row>
    <x:row r="188">
      <x:c r="A188" s="16" t="n">
        <x:v>44074</x:v>
      </x:c>
      <x:c r="B188" s="17" t="n">
        <x:v>-0.007106368517843964</x:v>
      </x:c>
      <x:c r="C188" s="17" t="n">
        <x:v>-0.00678158625048586</x:v>
      </x:c>
      <x:c r="D188" s="18" t="n">
        <x:v>0.6281572751795693</x:v>
      </x:c>
      <x:c r="E188" s="18" t="n">
        <x:v>0.6589280608905251</x:v>
      </x:c>
      <x:c r="F188" s="18" t="n">
        <x:f>F187*(1+B188)</x:f>
        <x:v>217.0374521142988</x:v>
      </x:c>
      <x:c r="G188" s="18" t="n">
        <x:f>G187*(1+C188)</x:f>
        <x:v>245.01390835768558</x:v>
      </x:c>
      <x:c r="H188" s="17" t="n">
        <x:v>-0.007206368517843964</x:v>
      </x:c>
      <x:c r="I188" s="17" t="n">
        <x:v>-0.006881586250485861</x:v>
      </x:c>
    </x:row>
    <x:row r="189">
      <x:c r="A189" s="16" t="n">
        <x:v>44104</x:v>
      </x:c>
      <x:c r="B189" s="17" t="n">
        <x:v>-0.002078578750778659</x:v>
      </x:c>
      <x:c r="C189" s="17" t="n">
        <x:v>-0.0028941352596963954</x:v>
      </x:c>
      <x:c r="D189" s="18" t="n">
        <x:v>0.471331826561333</x:v>
      </x:c>
      <x:c r="E189" s="18" t="n">
        <x:v>0.5683656295032582</x:v>
      </x:c>
      <x:c r="F189" s="18" t="n">
        <x:f>F188*(1+B189)</x:f>
        <x:v>216.58632267821088</x:v>
      </x:c>
      <x:c r="G189" s="18" t="n">
        <x:f>G188*(1+C189)</x:f>
        <x:v>244.30480496639157</x:v>
      </x:c>
      <x:c r="H189" s="17" t="n">
        <x:v>-0.002178578750778659</x:v>
      </x:c>
      <x:c r="I189" s="17" t="n">
        <x:v>-0.0029941352596963952</x:v>
      </x:c>
    </x:row>
    <x:row r="190">
      <x:c r="A190" s="16" t="n">
        <x:v>44135</x:v>
      </x:c>
      <x:c r="B190" s="17" t="n">
        <x:v>-0.00055974425533456</x:v>
      </x:c>
      <x:c r="C190" s="17" t="n">
        <x:v>-0.0018837360926811098</x:v>
      </x:c>
      <x:c r="D190" s="18" t="n">
        <x:v>0.5138602747930562</x:v>
      </x:c>
      <x:c r="E190" s="18" t="n">
        <x:v>0.5469752759461715</x:v>
      </x:c>
      <x:c r="F190" s="18" t="n">
        <x:f>F189*(1+B190)</x:f>
        <x:v>216.4650897283077</x:v>
      </x:c>
      <x:c r="G190" s="18" t="n">
        <x:f>G189*(1+C190)</x:f>
        <x:v>243.84459918766095</x:v>
      </x:c>
      <x:c r="H190" s="17" t="n">
        <x:v>-0.00065974425533456</x:v>
      </x:c>
      <x:c r="I190" s="17" t="n">
        <x:v>-0.0019837360926811096</x:v>
      </x:c>
    </x:row>
    <x:row r="191">
      <x:c r="A191" s="16" t="n">
        <x:v>44165</x:v>
      </x:c>
      <x:c r="B191" s="17" t="n">
        <x:v>0.022361418856269077</x:v>
      </x:c>
      <x:c r="C191" s="17" t="n">
        <x:v>0.02551388498554097</x:v>
      </x:c>
      <x:c r="D191" s="18" t="n">
        <x:v>0.5065862671615611</x:v>
      </x:c>
      <x:c r="E191" s="18" t="n">
        <x:v>0.4950881681363032</x:v>
      </x:c>
      <x:c r="F191" s="18" t="n">
        <x:f>F190*(1+B191)</x:f>
        <x:v>221.30555626748227</x:v>
      </x:c>
      <x:c r="G191" s="18" t="n">
        <x:f>G190*(1+C191)</x:f>
        <x:v>250.06602224568027</x:v>
      </x:c>
      <x:c r="H191" s="17" t="n">
        <x:v>0.022261418856269078</x:v>
      </x:c>
      <x:c r="I191" s="17" t="n">
        <x:v>0.02541388498554097</x:v>
      </x:c>
    </x:row>
    <x:row r="192">
      <x:c r="A192" s="16" t="n">
        <x:v>44196</x:v>
      </x:c>
      <x:c r="B192" s="17" t="n">
        <x:v>0.004573799796777855</x:v>
      </x:c>
      <x:c r="C192" s="17" t="n">
        <x:v>0.012289690240036899</x:v>
      </x:c>
      <x:c r="D192" s="18" t="n">
        <x:v>0.6221962204627169</x:v>
      </x:c>
      <x:c r="E192" s="18" t="n">
        <x:v>0.6004823844278326</x:v>
      </x:c>
      <x:c r="F192" s="18" t="n">
        <x:f>F191*(1+B192)</x:f>
        <x:v>222.3177635757643</x:v>
      </x:c>
      <x:c r="G192" s="18" t="n">
        <x:f>G191*(1+C192)</x:f>
        <x:v>253.13925619863787</x:v>
      </x:c>
      <x:c r="H192" s="17" t="n">
        <x:v>0.004473799796777855</x:v>
      </x:c>
      <x:c r="I192" s="17" t="n">
        <x:v>0.0121896902400369</x:v>
      </x:c>
    </x:row>
    <x:row r="193">
      <x:c r="A193" s="16" t="n">
        <x:v>44227</x:v>
      </x:c>
      <x:c r="B193" s="17" t="n">
        <x:v>-0.008477582957369112</x:v>
      </x:c>
      <x:c r="C193" s="17" t="n">
        <x:v>-0.004446152627824107</x:v>
      </x:c>
      <x:c r="D193" s="18" t="n">
        <x:v>0.5872846332472708</x:v>
      </x:c>
      <x:c r="E193" s="18" t="n">
        <x:v>0.4036921093932206</x:v>
      </x:c>
      <x:c r="F193" s="18" t="n">
        <x:f>F192*(1+B193)</x:f>
        <x:v>220.433046292154</x:v>
      </x:c>
      <x:c r="G193" s="18" t="n">
        <x:f>G192*(1+C193)</x:f>
        <x:v>252.01376042948485</x:v>
      </x:c>
      <x:c r="H193" s="17" t="n">
        <x:v>-0.008477582957369112</x:v>
      </x:c>
      <x:c r="I193" s="17" t="n">
        <x:v>-0.004446152627824107</x:v>
      </x:c>
    </x:row>
    <x:row r="194">
      <x:c r="A194" s="16" t="n">
        <x:v>44255</x:v>
      </x:c>
      <x:c r="B194" s="17" t="n">
        <x:v>-0.014105127077107316</x:v>
      </x:c>
      <x:c r="C194" s="17" t="n">
        <x:v>-0.006538512299550936</x:v>
      </x:c>
      <x:c r="D194" s="18" t="n">
        <x:v>0.6122210595213067</x:v>
      </x:c>
      <x:c r="E194" s="18" t="n">
        <x:v>0.4724293724857823</x:v>
      </x:c>
      <x:c r="F194" s="18" t="n">
        <x:f>F193*(1+B194)</x:f>
        <x:v>217.32381016220927</x:v>
      </x:c>
      <x:c r="G194" s="18" t="n">
        <x:f>G193*(1+C194)</x:f>
        <x:v>250.36596535726056</x:v>
      </x:c>
      <x:c r="H194" s="17" t="n">
        <x:v>-0.014105127077107316</x:v>
      </x:c>
      <x:c r="I194" s="17" t="n">
        <x:v>-0.006538512299550936</x:v>
      </x:c>
    </x:row>
    <x:row r="195">
      <x:c r="A195" s="16" t="n">
        <x:v>44286</x:v>
      </x:c>
      <x:c r="B195" s="17" t="n">
        <x:v>-0.008329943088124292</x:v>
      </x:c>
      <x:c r="C195" s="17" t="n">
        <x:v>-0.006316039464273837</x:v>
      </x:c>
      <x:c r="D195" s="18" t="n">
        <x:v>0.5567419049269675</x:v>
      </x:c>
      <x:c r="E195" s="18" t="n">
        <x:v>0.3950630226236617</x:v>
      </x:c>
      <x:c r="F195" s="18" t="n">
        <x:f>F194*(1+B195)</x:f>
        <x:v>215.51351519186375</x:v>
      </x:c>
      <x:c r="G195" s="18" t="n">
        <x:f>G194*(1+C195)</x:f>
        <x:v>248.7846440395531</x:v>
      </x:c>
      <x:c r="H195" s="17" t="n">
        <x:v>-0.008329943088124292</x:v>
      </x:c>
      <x:c r="I195" s="17" t="n">
        <x:v>-0.006316039464273837</x:v>
      </x:c>
    </x:row>
    <x:row r="196">
      <x:c r="A196" s="16" t="n">
        <x:v>44316</x:v>
      </x:c>
      <x:c r="B196" s="17" t="n">
        <x:v>0.00933494538421753</x:v>
      </x:c>
      <x:c r="C196" s="17" t="n">
        <x:v>0.011664182940351209</x:v>
      </x:c>
      <x:c r="D196" s="18" t="n">
        <x:v>0.6209049074118111</x:v>
      </x:c>
      <x:c r="E196" s="18" t="n">
        <x:v>0.6038690828684757</x:v>
      </x:c>
      <x:c r="F196" s="18" t="n">
        <x:f>F195*(1+B196)</x:f>
        <x:v>217.52532208574053</x:v>
      </x:c>
      <x:c r="G196" s="18" t="n">
        <x:f>G195*(1+C196)</x:f>
        <x:v>251.68651364038058</x:v>
      </x:c>
      <x:c r="H196" s="17" t="n">
        <x:v>0.00933494538421753</x:v>
      </x:c>
      <x:c r="I196" s="17" t="n">
        <x:v>0.011664182940351209</x:v>
      </x:c>
    </x:row>
    <x:row r="197">
      <x:c r="A197" s="16" t="n">
        <x:v>44347</x:v>
      </x:c>
      <x:c r="B197" s="17" t="n">
        <x:v>0.002970583619619882</x:v>
      </x:c>
      <x:c r="C197" s="17" t="n">
        <x:v>0.0032360955255055224</x:v>
      </x:c>
      <x:c r="D197" s="18" t="n">
        <x:v>0.54272925690128</x:v>
      </x:c>
      <x:c r="E197" s="18" t="n">
        <x:v>0.5531956552637427</x:v>
      </x:c>
      <x:c r="F197" s="18" t="n">
        <x:f>F196*(1+B197)</x:f>
        <x:v>218.17149924438095</x:v>
      </x:c>
      <x:c r="G197" s="18" t="n">
        <x:f>G196*(1+C197)</x:f>
        <x:v>252.5009952410023</x:v>
      </x:c>
      <x:c r="H197" s="17" t="n">
        <x:v>0.002970583619619882</x:v>
      </x:c>
      <x:c r="I197" s="17" t="n">
        <x:v>0.0032360955255055224</x:v>
      </x:c>
    </x:row>
    <x:row r="198">
      <x:c r="A198" s="16" t="n">
        <x:v>44377</x:v>
      </x:c>
      <x:c r="B198" s="17" t="n">
        <x:v>0.013010334329817352</x:v>
      </x:c>
      <x:c r="C198" s="17" t="n">
        <x:v>0.014454109495117162</x:v>
      </x:c>
      <x:c r="D198" s="18" t="n">
        <x:v>0.5097597349664573</x:v>
      </x:c>
      <x:c r="E198" s="18" t="n">
        <x:v>0.3954291534794361</x:v>
      </x:c>
      <x:c r="F198" s="18" t="n">
        <x:f>F197*(1+B198)</x:f>
        <x:v>221.00998339078785</x:v>
      </x:c>
      <x:c r="G198" s="18" t="n">
        <x:f>G197*(1+C198)</x:f>
        <x:v>256.1506722738418</x:v>
      </x:c>
      <x:c r="H198" s="17" t="n">
        <x:v>0.013010334329817352</x:v>
      </x:c>
      <x:c r="I198" s="17" t="n">
        <x:v>0.014454109495117162</x:v>
      </x:c>
    </x:row>
    <x:row r="199">
      <x:c r="A199" s="16" t="n">
        <x:v>44408</x:v>
      </x:c>
      <x:c r="B199" s="17" t="n">
        <x:v>0.008207092581052233</x:v>
      </x:c>
      <x:c r="C199" s="17" t="n">
        <x:v>0.0072396430103873755</x:v>
      </x:c>
      <x:c r="D199" s="18" t="n">
        <x:v>0.4932085488033064</x:v>
      </x:c>
      <x:c r="E199" s="18" t="n">
        <x:v>0.43491106730570606</x:v>
      </x:c>
      <x:c r="F199" s="18" t="n">
        <x:f>F198*(1+B199)</x:f>
        <x:v>222.82383278581287</x:v>
      </x:c>
      <x:c r="G199" s="18" t="n">
        <x:f>G198*(1+C199)</x:f>
        <x:v>258.0051116979751</x:v>
      </x:c>
      <x:c r="H199" s="17" t="n">
        <x:v>0.008207092581052233</x:v>
      </x:c>
      <x:c r="I199" s="17" t="n">
        <x:v>0.0072396430103873755</x:v>
      </x:c>
    </x:row>
    <x:row r="200">
      <x:c r="A200" s="16" t="n">
        <x:v>44439</x:v>
      </x:c>
      <x:c r="B200" s="17" t="n">
        <x:v>-0.002625309721479119</x:v>
      </x:c>
      <x:c r="C200" s="17" t="n">
        <x:v>-0.0027350018592424696</x:v>
      </x:c>
      <x:c r="D200" s="18" t="n">
        <x:v>0.5599683246417206</x:v>
      </x:c>
      <x:c r="E200" s="18" t="n">
        <x:v>0.555688524047935</x:v>
      </x:c>
      <x:c r="F200" s="18" t="n">
        <x:f>F199*(1+B200)</x:f>
        <x:v>222.23885121142303</x:v>
      </x:c>
      <x:c r="G200" s="18" t="n">
        <x:f>G199*(1+C200)</x:f>
        <x:v>257.2994672377871</x:v>
      </x:c>
      <x:c r="H200" s="17" t="n">
        <x:v>-0.002625309721479119</x:v>
      </x:c>
      <x:c r="I200" s="17" t="n">
        <x:v>-0.0027350018592424696</x:v>
      </x:c>
    </x:row>
    <x:row r="201">
      <x:c r="A201" s="16" t="n">
        <x:v>44469</x:v>
      </x:c>
      <x:c r="B201" s="17" t="n">
        <x:v>-0.007594583122066623</x:v>
      </x:c>
      <x:c r="C201" s="17" t="n">
        <x:v>-0.00800085496058578</x:v>
      </x:c>
      <x:c r="D201" s="18" t="n">
        <x:v>0.4352892517907721</x:v>
      </x:c>
      <x:c r="E201" s="18" t="n">
        <x:v>0.4895341830082238</x:v>
      </x:c>
      <x:c r="F201" s="18" t="n">
        <x:f>F200*(1+B201)</x:f>
        <x:v>220.55103978294528</x:v>
      </x:c>
      <x:c r="G201" s="18" t="n">
        <x:f>G200*(1+C201)</x:f>
        <x:v>255.24085151898157</x:v>
      </x:c>
      <x:c r="H201" s="17" t="n">
        <x:v>-0.007594583122066623</x:v>
      </x:c>
      <x:c r="I201" s="17" t="n">
        <x:v>-0.00800085496058578</x:v>
      </x:c>
    </x:row>
    <x:row r="202">
      <x:c r="A202" s="16" t="n">
        <x:v>44500</x:v>
      </x:c>
      <x:c r="B202" s="17" t="n">
        <x:v>0.004478171932862152</x:v>
      </x:c>
      <x:c r="C202" s="17" t="n">
        <x:v>0.005202352939158272</x:v>
      </x:c>
      <x:c r="D202" s="18" t="n">
        <x:v>0.4953375550077238</x:v>
      </x:c>
      <x:c r="E202" s="18" t="n">
        <x:v>0.49843781066238246</x:v>
      </x:c>
      <x:c r="F202" s="18" t="n">
        <x:f>F201*(1+B202)</x:f>
        <x:v>221.53870525906484</x:v>
      </x:c>
      <x:c r="G202" s="18" t="n">
        <x:f>G201*(1+C202)</x:f>
        <x:v>256.5687045130746</x:v>
      </x:c>
      <x:c r="H202" s="17" t="n">
        <x:v>0.004478171932862152</x:v>
      </x:c>
      <x:c r="I202" s="17" t="n">
        <x:v>0.005202352939158272</x:v>
      </x:c>
    </x:row>
    <x:row r="203">
      <x:c r="A203" s="16" t="n">
        <x:v>44530</x:v>
      </x:c>
      <x:c r="B203" s="17" t="n">
        <x:v>-0.0007235534041734049</x:v>
      </x:c>
      <x:c r="C203" s="17" t="n">
        <x:v>-0.000948878507458395</x:v>
      </x:c>
      <x:c r="D203" s="18" t="n">
        <x:v>0.473317478021385</x:v>
      </x:c>
      <x:c r="E203" s="18" t="n">
        <x:v>0.46688079915977726</x:v>
      </x:c>
      <x:c r="F203" s="18" t="n">
        <x:f>F202*(1+B203)</x:f>
        <x:v>221.37841017471848</x:v>
      </x:c>
      <x:c r="G203" s="18" t="n">
        <x:f>G202*(1+C203)</x:f>
        <x:v>256.3252519836757</x:v>
      </x:c>
      <x:c r="H203" s="17" t="n">
        <x:v>-0.0007235534041734049</x:v>
      </x:c>
      <x:c r="I203" s="17" t="n">
        <x:v>-0.000948878507458395</x:v>
      </x:c>
    </x:row>
    <x:row r="204">
      <x:c r="A204" s="16" t="n">
        <x:v>44561</x:v>
      </x:c>
      <x:c r="B204" s="17" t="n">
        <x:v>-0.001834339648772887</x:v>
      </x:c>
      <x:c r="C204" s="17" t="n">
        <x:v>-0.0013491586433942437</x:v>
      </x:c>
      <x:c r="D204" s="18" t="n">
        <x:v>0.4741292426309312</x:v>
      </x:c>
      <x:c r="E204" s="18" t="n">
        <x:v>0.4509532017694414</x:v>
      </x:c>
      <x:c r="F204" s="18" t="n">
        <x:f>F203*(1+B204)</x:f>
        <x:v>220.9723269795527</x:v>
      </x:c>
      <x:c r="G204" s="18" t="n">
        <x:f>G203*(1+C204)</x:f>
        <x:v>255.9794285544417</x:v>
      </x:c>
      <x:c r="H204" s="17" t="n">
        <x:v>-0.001934339648772887</x:v>
      </x:c>
      <x:c r="I204" s="17" t="n">
        <x:v>-0.0014491586433942438</x:v>
      </x:c>
    </x:row>
    <x:row r="205">
      <x:c r="A205" s="16" t="n">
        <x:v>44592</x:v>
      </x:c>
      <x:c r="B205" s="17" t="n">
        <x:v>-0.02402280615774821</x:v>
      </x:c>
      <x:c r="C205" s="17" t="n">
        <x:v>-0.02292900636734463</x:v>
      </x:c>
      <x:c r="D205" s="18" t="n">
        <x:v>0.4481527156339856</x:v>
      </x:c>
      <x:c r="E205" s="18" t="n">
        <x:v>0.5334019062200803</x:v>
      </x:c>
      <x:c r="F205" s="18" t="n">
        <x:f>F204*(1+B205)</x:f>
        <x:v>215.66395160229635</x:v>
      </x:c>
      <x:c r="G205" s="18" t="n">
        <x:f>G204*(1+C205)</x:f>
        <x:v>250.11007460720768</x:v>
      </x:c>
      <x:c r="H205" s="17" t="n">
        <x:v>-0.02402280615774821</x:v>
      </x:c>
      <x:c r="I205" s="17" t="n">
        <x:v>-0.02292900636734463</x:v>
      </x:c>
    </x:row>
    <x:row r="206">
      <x:c r="A206" s="16" t="n">
        <x:v>44620</x:v>
      </x:c>
      <x:c r="B206" s="17" t="n">
        <x:v>-0.016189416749813113</x:v>
      </x:c>
      <x:c r="C206" s="17" t="n">
        <x:v>-0.016560657972016002</x:v>
      </x:c>
      <x:c r="D206" s="18" t="n">
        <x:v>0.5288796689314841</x:v>
      </x:c>
      <x:c r="E206" s="18" t="n">
        <x:v>0.4854360128264406</x:v>
      </x:c>
      <x:c r="F206" s="18" t="n">
        <x:f>F205*(1+B206)</x:f>
        <x:v>212.17247801189524</x:v>
      </x:c>
      <x:c r="G206" s="18" t="n">
        <x:f>G205*(1+C206)</x:f>
        <x:v>245.96808720628232</x:v>
      </x:c>
      <x:c r="H206" s="17" t="n">
        <x:v>-0.016189416749813113</x:v>
      </x:c>
      <x:c r="I206" s="17" t="n">
        <x:v>-0.016560657972016002</x:v>
      </x:c>
    </x:row>
    <x:row r="207">
      <x:c r="A207" s="16" t="n">
        <x:v>44651</x:v>
      </x:c>
      <x:c r="B207" s="17" t="n">
        <x:v>-0.012204302286147883</x:v>
      </x:c>
      <x:c r="C207" s="17" t="n">
        <x:v>-0.010842623461975065</x:v>
      </x:c>
      <x:c r="D207" s="18" t="n">
        <x:v>0.4747504473156173</x:v>
      </x:c>
      <x:c r="E207" s="18" t="n">
        <x:v>0.41621805332273143</x:v>
      </x:c>
      <x:c r="F207" s="18" t="n">
        <x:f>F206*(1+B207)</x:f>
        <x:v>209.583060953437</x:v>
      </x:c>
      <x:c r="G207" s="18" t="n">
        <x:f>G206*(1+C207)</x:f>
        <x:v>243.30114785304235</x:v>
      </x:c>
      <x:c r="H207" s="17" t="n">
        <x:v>-0.012204302286147883</x:v>
      </x:c>
      <x:c r="I207" s="17" t="n">
        <x:v>-0.010842623461975065</x:v>
      </x:c>
    </x:row>
    <x:row r="208">
      <x:c r="A208" s="16" t="n">
        <x:v>44681</x:v>
      </x:c>
      <x:c r="B208" s="17" t="n">
        <x:v>-0.044355056019939276</x:v>
      </x:c>
      <x:c r="C208" s="17" t="n">
        <x:v>-0.04326894595894126</x:v>
      </x:c>
      <x:c r="D208" s="18" t="n">
        <x:v>0.5640288013517271</x:v>
      </x:c>
      <x:c r="E208" s="18" t="n">
        <x:v>0.5803787907645537</x:v>
      </x:c>
      <x:c r="F208" s="18" t="n">
        <x:f>F207*(1+B208)</x:f>
        <x:v>200.28699254401695</x:v>
      </x:c>
      <x:c r="G208" s="18" t="n">
        <x:f>G207*(1+C208)</x:f>
        <x:v>232.7737636348407</x:v>
      </x:c>
      <x:c r="H208" s="17" t="n">
        <x:v>-0.044355056019939276</x:v>
      </x:c>
      <x:c r="I208" s="17" t="n">
        <x:v>-0.04326894595894126</x:v>
      </x:c>
    </x:row>
    <x:row r="209">
      <x:c r="A209" s="16" t="n">
        <x:v>44712</x:v>
      </x:c>
      <x:c r="B209" s="17" t="n">
        <x:v>-0.00006398540445584633</x:v>
      </x:c>
      <x:c r="C209" s="17" t="n">
        <x:v>0.0002795486286373272</x:v>
      </x:c>
      <x:c r="D209" s="18" t="n">
        <x:v>0.5109551101664489</x:v>
      </x:c>
      <x:c r="E209" s="18" t="n">
        <x:v>0.5298500443112649</x:v>
      </x:c>
      <x:c r="F209" s="18" t="n">
        <x:f>F208*(1+B209)</x:f>
        <x:v>200.27417709979179</x:v>
      </x:c>
      <x:c r="G209" s="18" t="n">
        <x:f>G208*(1+C209)</x:f>
        <x:v>232.83883522124756</x:v>
      </x:c>
      <x:c r="H209" s="17" t="n">
        <x:v>-0.0003639854044558463</x:v>
      </x:c>
      <x:c r="I209" s="17" t="n">
        <x:v>-0.00002045137136267276</x:v>
      </x:c>
    </x:row>
    <x:row r="210">
      <x:c r="A210" s="16" t="n">
        <x:v>44742</x:v>
      </x:c>
      <x:c r="B210" s="17" t="n">
        <x:v>-0.025260000441850394</x:v>
      </x:c>
      <x:c r="C210" s="17" t="n">
        <x:v>-0.02278734337958843</x:v>
      </x:c>
      <x:c r="D210" s="18" t="n">
        <x:v>0.5356648866162232</x:v>
      </x:c>
      <x:c r="E210" s="18" t="n">
        <x:v>0.5539884117754036</x:v>
      </x:c>
      <x:c r="F210" s="18" t="n">
        <x:f>F209*(1+B210)</x:f>
        <x:v>195.21525129775983</x:v>
      </x:c>
      <x:c r="G210" s="18" t="n">
        <x:f>G209*(1+C210)</x:f>
        <x:v>227.53305673095758</x:v>
      </x:c>
      <x:c r="H210" s="17" t="n">
        <x:v>-0.025860000441850394</x:v>
      </x:c>
      <x:c r="I210" s="17" t="n">
        <x:v>-0.02338734337958843</x:v>
      </x:c>
    </x:row>
    <x:row r="211">
      <x:c r="A211" s="16" t="n">
        <x:v>44773</x:v>
      </x:c>
      <x:c r="B211" s="17" t="n">
        <x:v>0.027250066788147675</x:v>
      </x:c>
      <x:c r="C211" s="17" t="n">
        <x:v>0.02765389669136642</x:v>
      </x:c>
      <x:c r="D211" s="18" t="n">
        <x:v>0.5816238208124151</x:v>
      </x:c>
      <x:c r="E211" s="18" t="n">
        <x:v>0.6296181790569166</x:v>
      </x:c>
      <x:c r="F211" s="18" t="n">
        <x:f>F210*(1+B211)</x:f>
        <x:v>200.5348799336888</x:v>
      </x:c>
      <x:c r="G211" s="18" t="n">
        <x:f>G210*(1+C211)</x:f>
        <x:v>233.8252323756663</x:v>
      </x:c>
      <x:c r="H211" s="17" t="n">
        <x:v>0.026450066788147677</x:v>
      </x:c>
      <x:c r="I211" s="17" t="n">
        <x:v>0.02685389669136642</x:v>
      </x:c>
    </x:row>
    <x:row r="212">
      <x:c r="A212" s="16" t="n">
        <x:v>44804</x:v>
      </x:c>
      <x:c r="B212" s="17" t="n">
        <x:v>-0.019980531958026848</x:v>
      </x:c>
      <x:c r="C212" s="17" t="n">
        <x:v>-0.0169149239198918</x:v>
      </x:c>
      <x:c r="D212" s="18" t="n">
        <x:v>0.83314377835001</x:v>
      </x:c>
      <x:c r="E212" s="18" t="n">
        <x:v>0.9134519792375877</x:v>
      </x:c>
      <x:c r="F212" s="18" t="n">
        <x:f>F211*(1+B212)</x:f>
        <x:v>196.52808635647466</x:v>
      </x:c>
      <x:c r="G212" s="18" t="n">
        <x:f>G211*(1+C212)</x:f>
        <x:v>229.8700963594809</x:v>
      </x:c>
      <x:c r="H212" s="17" t="n">
        <x:v>-0.021880531958026847</x:v>
      </x:c>
      <x:c r="I212" s="17" t="n">
        <x:v>-0.0188149239198918</x:v>
      </x:c>
    </x:row>
    <x:row r="213">
      <x:c r="A213" s="16" t="n">
        <x:v>44834</x:v>
      </x:c>
      <x:c r="B213" s="17" t="n">
        <x:v>-0.046031028058041934</x:v>
      </x:c>
      <x:c r="C213" s="17" t="n">
        <x:v>-0.041658648236470586</x:v>
      </x:c>
      <x:c r="D213" s="18" t="n">
        <x:v>0.6683437323654162</x:v>
      </x:c>
      <x:c r="E213" s="18" t="n">
        <x:v>0.5791717059664674</x:v>
      </x:c>
      <x:c r="F213" s="18" t="n">
        <x:f>F212*(1+B213)</x:f>
        <x:v>187.4816964992065</x:v>
      </x:c>
      <x:c r="G213" s="18" t="n">
        <x:f>G212*(1+C213)</x:f>
        <x:v>220.2940188751577</x:v>
      </x:c>
      <x:c r="H213" s="17" t="n">
        <x:v>-0.04793102805804193</x:v>
      </x:c>
      <x:c r="I213" s="17" t="n">
        <x:v>-0.043558648236470585</x:v>
      </x:c>
    </x:row>
    <x:row r="214">
      <x:c r="A214" s="16" t="n">
        <x:v>44865</x:v>
      </x:c>
      <x:c r="B214" s="17" t="n">
        <x:v>-0.005484443909059</x:v>
      </x:c>
      <x:c r="C214" s="17" t="n">
        <x:v>-0.00525070193629007</x:v>
      </x:c>
      <x:c r="D214" s="18" t="n">
        <x:v>0.6621224116838149</x:v>
      </x:c>
      <x:c r="E214" s="18" t="n">
        <x:v>0.6107455159303758</x:v>
      </x:c>
      <x:c r="F214" s="18" t="n">
        <x:f>F213*(1+B214)</x:f>
        <x:v>186.45346365078137</x:v>
      </x:c>
      <x:c r="G214" s="18" t="n">
        <x:f>G213*(1+C214)</x:f>
        <x:v>219.13732064369677</x:v>
      </x:c>
      <x:c r="H214" s="17" t="n">
        <x:v>-0.007784443909059</x:v>
      </x:c>
      <x:c r="I214" s="17" t="n">
        <x:v>-0.00755070193629007</x:v>
      </x:c>
    </x:row>
    <x:row r="215">
      <x:c r="A215" s="16" t="n">
        <x:v>44895</x:v>
      </x:c>
      <x:c r="B215" s="17" t="n">
        <x:v>0.035384690968272015</x:v>
      </x:c>
      <x:c r="C215" s="17" t="n">
        <x:v>0.03480242978493253</x:v>
      </x:c>
      <x:c r="D215" s="18" t="n">
        <x:v>0.6081506454060002</x:v>
      </x:c>
      <x:c r="E215" s="18" t="n">
        <x:v>0.6507183007424524</x:v>
      </x:c>
      <x:c r="F215" s="18" t="n">
        <x:f>F214*(1+B215)</x:f>
        <x:v>193.05106184202822</x:v>
      </x:c>
      <x:c r="G215" s="18" t="n">
        <x:f>G214*(1+C215)</x:f>
        <x:v>226.76383185865728</x:v>
      </x:c>
      <x:c r="H215" s="17" t="n">
        <x:v>0.032484690968272015</x:v>
      </x:c>
      <x:c r="I215" s="17" t="n">
        <x:v>0.03190242978493253</x:v>
      </x:c>
    </x:row>
    <x:row r="216">
      <x:c r="A216" s="16" t="n">
        <x:v>44926</x:v>
      </x:c>
      <x:c r="B216" s="17" t="n">
        <x:v>-0.0015680854602444505</x:v>
      </x:c>
      <x:c r="C216" s="17" t="n">
        <x:v>-0.0013828592674027806</x:v>
      </x:c>
      <x:c r="D216" s="18" t="n">
        <x:v>0.6113736938877197</x:v>
      </x:c>
      <x:c r="E216" s="18" t="n">
        <x:v>0.5807785081190224</x:v>
      </x:c>
      <x:c r="F216" s="18" t="n">
        <x:f>F215*(1+B216)</x:f>
        <x:v>192.748341278869</x:v>
      </x:c>
      <x:c r="G216" s="18" t="n">
        <x:f>G215*(1+C216)</x:f>
        <x:v>226.45024939225976</x:v>
      </x:c>
      <x:c r="H216" s="17" t="n">
        <x:v>-0.0048680854602444505</x:v>
      </x:c>
      <x:c r="I216" s="17" t="n">
        <x:v>-0.004682859267402781</x:v>
      </x:c>
    </x:row>
  </x:sheetData>
  <x:pageMargins left="0.7" right="0.7" top="0.75" bottom="0.75" header="0.3" footer="0.3"/>
</x:worksheet>
</file>